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reuan\Documents\Python Stuff\Excel\Learning-Excel-Functions\"/>
    </mc:Choice>
  </mc:AlternateContent>
  <xr:revisionPtr revIDLastSave="0" documentId="13_ncr:1_{00E9A06B-90E0-4CA7-8844-1CE2A39C4059}" xr6:coauthVersionLast="47" xr6:coauthVersionMax="47" xr10:uidLastSave="{00000000-0000-0000-0000-000000000000}"/>
  <bookViews>
    <workbookView xWindow="-120" yWindow="-120" windowWidth="29040" windowHeight="15720" firstSheet="4" activeTab="11" xr2:uid="{D1FC2354-1431-294E-9D05-A71CF1B59C9B}"/>
  </bookViews>
  <sheets>
    <sheet name="Cover Page" sheetId="5" r:id="rId1"/>
    <sheet name="Breakdown" sheetId="1" r:id="rId2"/>
    <sheet name="Clean" sheetId="4" state="hidden" r:id="rId3"/>
    <sheet name="Detail1" sheetId="6" r:id="rId4"/>
    <sheet name="Analysis" sheetId="2" r:id="rId5"/>
    <sheet name="Manager Revenue" sheetId="8" r:id="rId6"/>
    <sheet name="Most Profit from Product" sheetId="9" r:id="rId7"/>
    <sheet name="Sales by Week-Month" sheetId="10" r:id="rId8"/>
    <sheet name="Sales By Payment Method" sheetId="11" r:id="rId9"/>
    <sheet name="Detail2" sheetId="14" r:id="rId10"/>
    <sheet name="Cards" sheetId="13" r:id="rId11"/>
    <sheet name="Dashboard" sheetId="7" r:id="rId12"/>
    <sheet name="Findings" sheetId="3" state="hidden" r:id="rId13"/>
  </sheets>
  <definedNames>
    <definedName name="_xlchart.v1.0" hidden="1">Breakdown!$E$3:$E$264</definedName>
    <definedName name="_xlchart.v1.1" hidden="1">Breakdown!$H$3:$H$264</definedName>
    <definedName name="_xlchart.v1.2" hidden="1">Breakdown!$E$3:$E$264</definedName>
    <definedName name="Slicer_Manager">#N/A</definedName>
  </definedNames>
  <calcPr calcId="191029"/>
  <pivotCaches>
    <pivotCache cacheId="2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K3" i="1" l="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M3" i="4"/>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1">
    <bk>
      <extLst>
        <ext uri="{3e2802c4-a4d2-4d8b-9148-e3be6c30e623}">
          <xlrd:rvb i="0"/>
        </ext>
      </extLst>
    </bk>
    <bk>
      <extLst>
        <ext uri="{3e2802c4-a4d2-4d8b-9148-e3be6c30e623}">
          <xlrd:rvb i="68"/>
        </ext>
      </extLst>
    </bk>
    <bk>
      <extLst>
        <ext uri="{3e2802c4-a4d2-4d8b-9148-e3be6c30e623}">
          <xlrd:rvb i="69"/>
        </ext>
      </extLst>
    </bk>
    <bk>
      <extLst>
        <ext uri="{3e2802c4-a4d2-4d8b-9148-e3be6c30e623}">
          <xlrd:rvb i="72"/>
        </ext>
      </extLst>
    </bk>
    <bk>
      <extLst>
        <ext uri="{3e2802c4-a4d2-4d8b-9148-e3be6c30e623}">
          <xlrd:rvb i="143"/>
        </ext>
      </extLst>
    </bk>
    <bk>
      <extLst>
        <ext uri="{3e2802c4-a4d2-4d8b-9148-e3be6c30e623}">
          <xlrd:rvb i="146"/>
        </ext>
      </extLst>
    </bk>
    <bk>
      <extLst>
        <ext uri="{3e2802c4-a4d2-4d8b-9148-e3be6c30e623}">
          <xlrd:rvb i="216"/>
        </ext>
      </extLst>
    </bk>
    <bk>
      <extLst>
        <ext uri="{3e2802c4-a4d2-4d8b-9148-e3be6c30e623}">
          <xlrd:rvb i="218"/>
        </ext>
      </extLst>
    </bk>
    <bk>
      <extLst>
        <ext uri="{3e2802c4-a4d2-4d8b-9148-e3be6c30e623}">
          <xlrd:rvb i="285"/>
        </ext>
      </extLst>
    </bk>
    <bk>
      <extLst>
        <ext uri="{3e2802c4-a4d2-4d8b-9148-e3be6c30e623}">
          <xlrd:rvb i="288"/>
        </ext>
      </extLst>
    </bk>
    <bk>
      <extLst>
        <ext uri="{3e2802c4-a4d2-4d8b-9148-e3be6c30e623}">
          <xlrd:rvb i="363"/>
        </ext>
      </extLst>
    </bk>
  </futureMetadata>
  <futureMetadata name="XLDAPR" count="1">
    <bk>
      <extLst>
        <ext uri="{bdbb8cdc-fa1e-496e-a857-3c3f30c029c3}">
          <xda:dynamicArrayProperties fDynamic="1" fCollapsed="0"/>
        </ext>
      </extLst>
    </bk>
  </futureMetadata>
  <cellMetadata count="1">
    <bk>
      <rc t="2" v="0"/>
    </bk>
  </cell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<sst xmlns="http://schemas.openxmlformats.org/spreadsheetml/2006/main" count="3531" uniqueCount="100">
  <si>
    <t>Order ID</t>
  </si>
  <si>
    <t>Date</t>
  </si>
  <si>
    <t>Product</t>
  </si>
  <si>
    <t>Price</t>
  </si>
  <si>
    <t>Quantity</t>
  </si>
  <si>
    <t>Purchase Type</t>
  </si>
  <si>
    <t>Payment Method</t>
  </si>
  <si>
    <t>Manager</t>
  </si>
  <si>
    <t>City</t>
  </si>
  <si>
    <t>Fries</t>
  </si>
  <si>
    <t xml:space="preserve">Online </t>
  </si>
  <si>
    <t xml:space="preserve"> Gift Card</t>
  </si>
  <si>
    <t>Beverages</t>
  </si>
  <si>
    <t>Sides &amp; Other</t>
  </si>
  <si>
    <t xml:space="preserve">In-store </t>
  </si>
  <si>
    <t>Burgers</t>
  </si>
  <si>
    <t xml:space="preserve"> Credit Card</t>
  </si>
  <si>
    <t>Walter Muller</t>
  </si>
  <si>
    <t>Chicken Sandwiches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</si>
  <si>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</si>
  <si>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</si>
  <si>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</si>
  <si>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</si>
  <si>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</si>
  <si>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</si>
  <si>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</si>
  <si>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</si>
  <si>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</si>
  <si>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</si>
  <si>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</si>
  <si>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</si>
  <si>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</si>
  <si>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</si>
  <si>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</si>
  <si>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</si>
  <si>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</si>
  <si>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</si>
  <si>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</si>
  <si>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</si>
  <si>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</si>
  <si>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</si>
  <si>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Data Analysis Start File</t>
  </si>
  <si>
    <t>First step is to convert this into a Table by highlighting the whole data set (select one cell) and using the shortcut ctrl + t</t>
  </si>
  <si>
    <r>
      <t xml:space="preserve">We start by fixing the "Manager" column where the names are formatted incorrectly. We fix this by using "=TRIM()" Function 
We then format the text into a value. (This will be a repeated step)
</t>
    </r>
    <r>
      <rPr>
        <sz val="11"/>
        <color theme="1"/>
        <rFont val="Calibri"/>
        <family val="2"/>
        <scheme val="minor"/>
      </rPr>
      <t xml:space="preserve">.. Highlight the column (Ctrl + Shift + ↓)
.. Copy the column (Ctrl + C)
.. Paste as value (Alt + H + VV)
</t>
    </r>
  </si>
  <si>
    <t>We move onto rounding up the "Quantity" as the decimal places don't make sense in context of the items
Use "=ROUNDUP()" 
Specifically =(ROUNDUP([@Quantity],0)) it sets the value to the closest whole number</t>
  </si>
  <si>
    <t>Country/region</t>
  </si>
  <si>
    <t>We can grab the country of the city by highlighting the column then going into the Data tab and selecting Geography</t>
  </si>
  <si>
    <t>We can remove duplicate data sets by going into Data and selecting Remove Duplicates</t>
  </si>
  <si>
    <t>Mean</t>
  </si>
  <si>
    <t>Standard Error</t>
  </si>
  <si>
    <t>Median</t>
  </si>
  <si>
    <t>Mode</t>
  </si>
  <si>
    <t>Standard Deviation</t>
  </si>
  <si>
    <t>Sample Variance</t>
  </si>
  <si>
    <t>Kurtosis</t>
  </si>
  <si>
    <t>Skewness</t>
  </si>
  <si>
    <t>Range</t>
  </si>
  <si>
    <t>Minimum</t>
  </si>
  <si>
    <t>Maximum</t>
  </si>
  <si>
    <t>Sum</t>
  </si>
  <si>
    <t>Count</t>
  </si>
  <si>
    <t>I was able to create this whole table by using the Excel add-in "Data Analysis"
I used Descriptive Statistics on the price column and selected the summary statistics to produce a table with all the necessary information</t>
  </si>
  <si>
    <t xml:space="preserve">This chart allows us to look at the data of the price column and see who could possibly be inputting their data incorrectly. Changing the X axis data to be the managers name allows us to identify that Joao Silva could be having issues with incorrect data entries </t>
  </si>
  <si>
    <t xml:space="preserve">Documentation done by Euan Garcia </t>
  </si>
  <si>
    <t>Going into analysis we need to answer 3 questions which is the next step in the process</t>
  </si>
  <si>
    <t>Row Labels</t>
  </si>
  <si>
    <t>Grand Total</t>
  </si>
  <si>
    <t>Sum of Quantity</t>
  </si>
  <si>
    <t>Best Selling Product PivotTable</t>
  </si>
  <si>
    <t>Sum of Revenue</t>
  </si>
  <si>
    <t>Details for Sum of Revenue</t>
  </si>
  <si>
    <t>Credit Card</t>
  </si>
  <si>
    <t>These PivotTable examples are to show how to solve each question using the information created and cleaned in the breakdown sheet</t>
  </si>
  <si>
    <t xml:space="preserve">Total Revenue </t>
  </si>
  <si>
    <t>Revenue by Payment Method</t>
  </si>
  <si>
    <t>Nov</t>
  </si>
  <si>
    <t>Dec</t>
  </si>
  <si>
    <t>07-Nov</t>
  </si>
  <si>
    <t>13-Nov</t>
  </si>
  <si>
    <t>14-Nov</t>
  </si>
  <si>
    <t>19-Nov</t>
  </si>
  <si>
    <t>20-Nov</t>
  </si>
  <si>
    <t>23-Nov</t>
  </si>
  <si>
    <t>12-Dec</t>
  </si>
  <si>
    <t>13-Dec</t>
  </si>
  <si>
    <t>14-Dec</t>
  </si>
  <si>
    <t>15-Dec</t>
  </si>
  <si>
    <t>16-Dec</t>
  </si>
  <si>
    <t>17-Dec</t>
  </si>
  <si>
    <t>18-Dec</t>
  </si>
  <si>
    <t>19-Dec</t>
  </si>
  <si>
    <t>20-Dec</t>
  </si>
  <si>
    <t>21-Dec</t>
  </si>
  <si>
    <t>22-Dec</t>
  </si>
  <si>
    <t>23-Dec</t>
  </si>
  <si>
    <t>24-Dec</t>
  </si>
  <si>
    <t>Sum of Revenue2</t>
  </si>
  <si>
    <t>Details for Sum of Revenue2 - Payment Method:  Gift Card</t>
  </si>
  <si>
    <t>Count of Order ID</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</si>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</sst>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409]* #,##0.00_ ;_-[$$-409]* \-#,##0.00\ ;_-[$$-409]* &quot;-&quot;??_ ;_-@_ "/>
    <numFmt numFmtId="165" formatCode="_-[$$-409]* #,##0_ ;_-[$$-409]* \-#,##0\ ;_-[$$-409]* &quot;-&quot;??_ ;_-@_ "/>
    <numFmt numFmtId="167" formatCode="&quot;£&quot;#,##0.00"/>
    <numFmt numFmtId="170" formatCode="[$-809]dd\ mmmm\ yyyy;@"/>
  </numFmts>
  <fonts count="18"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s>
  <fills count="6">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43" fontId="3" fillId="0" borderId="0" applyFont="0" applyFill="0" applyBorder="0" applyAlignment="0" applyProtection="0"/>
    <xf numFmtId="0" fontId="10" fillId="0" borderId="0" applyNumberFormat="0" applyFill="0" applyBorder="0" applyAlignment="0" applyProtection="0"/>
    <xf numFmtId="0" fontId="2" fillId="0" borderId="0"/>
    <xf numFmtId="0" fontId="16" fillId="0" borderId="0" applyNumberFormat="0" applyFill="0" applyBorder="0" applyAlignment="0" applyProtection="0"/>
  </cellStyleXfs>
  <cellXfs count="64">
    <xf numFmtId="0" fontId="0" fillId="0" borderId="0" xfId="0"/>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0" fontId="7" fillId="0" borderId="0" xfId="0" applyFont="1"/>
    <xf numFmtId="0" fontId="4" fillId="2" borderId="0" xfId="0" applyFont="1" applyFill="1" applyAlignment="1">
      <alignment horizontal="left" indent="1"/>
    </xf>
    <xf numFmtId="0" fontId="5" fillId="3" borderId="0" xfId="0" applyFont="1" applyFill="1" applyAlignment="1">
      <alignment horizontal="left" indent="1"/>
    </xf>
    <xf numFmtId="0" fontId="5" fillId="3" borderId="0" xfId="0" applyFont="1" applyFill="1"/>
    <xf numFmtId="0" fontId="0" fillId="0" borderId="0" xfId="0" applyAlignment="1">
      <alignment horizontal="left" indent="1"/>
    </xf>
    <xf numFmtId="0" fontId="5" fillId="0" borderId="0" xfId="0" applyFont="1"/>
    <xf numFmtId="0" fontId="8" fillId="0" borderId="0" xfId="0" applyFont="1"/>
    <xf numFmtId="0" fontId="5" fillId="3" borderId="1" xfId="0" applyFont="1" applyFill="1" applyBorder="1" applyAlignment="1">
      <alignment horizontal="center"/>
    </xf>
    <xf numFmtId="164" fontId="0" fillId="0" borderId="0" xfId="1" applyNumberFormat="1" applyFont="1" applyAlignment="1">
      <alignment horizontal="center"/>
    </xf>
    <xf numFmtId="0" fontId="0" fillId="0" borderId="0" xfId="0" applyAlignment="1">
      <alignment horizontal="left"/>
    </xf>
    <xf numFmtId="165" fontId="0" fillId="0" borderId="0" xfId="0" applyNumberFormat="1"/>
    <xf numFmtId="0" fontId="5" fillId="0" borderId="2" xfId="0" applyFont="1" applyBorder="1" applyAlignment="1">
      <alignment horizontal="left"/>
    </xf>
    <xf numFmtId="165" fontId="5" fillId="0" borderId="2" xfId="0" applyNumberFormat="1" applyFont="1" applyBorder="1"/>
    <xf numFmtId="0" fontId="6" fillId="0" borderId="0" xfId="0" applyFont="1"/>
    <xf numFmtId="1" fontId="0" fillId="0" borderId="0" xfId="0" applyNumberFormat="1" applyAlignment="1">
      <alignment horizontal="center"/>
    </xf>
    <xf numFmtId="0" fontId="2" fillId="0" borderId="3" xfId="3" applyBorder="1"/>
    <xf numFmtId="0" fontId="11" fillId="0" borderId="4" xfId="3" applyFont="1" applyBorder="1" applyAlignment="1">
      <alignment horizontal="center" vertical="center"/>
    </xf>
    <xf numFmtId="0" fontId="2" fillId="0" borderId="5" xfId="3" applyBorder="1"/>
    <xf numFmtId="0" fontId="2" fillId="4" borderId="0" xfId="3" applyFill="1"/>
    <xf numFmtId="0" fontId="2" fillId="0" borderId="6" xfId="3" applyBorder="1"/>
    <xf numFmtId="0" fontId="12" fillId="0" borderId="0" xfId="3" applyFont="1" applyAlignment="1">
      <alignment horizontal="center" vertical="center"/>
    </xf>
    <xf numFmtId="0" fontId="2" fillId="0" borderId="7" xfId="3" applyBorder="1"/>
    <xf numFmtId="0" fontId="2" fillId="0" borderId="0" xfId="3"/>
    <xf numFmtId="0" fontId="3" fillId="0" borderId="6" xfId="3" applyFont="1" applyBorder="1"/>
    <xf numFmtId="0" fontId="13" fillId="0" borderId="0" xfId="3" applyFont="1" applyAlignment="1">
      <alignment horizontal="center"/>
    </xf>
    <xf numFmtId="0" fontId="3" fillId="0" borderId="7" xfId="3" applyFont="1" applyBorder="1"/>
    <xf numFmtId="0" fontId="3" fillId="4" borderId="0" xfId="3" applyFont="1" applyFill="1"/>
    <xf numFmtId="0" fontId="13" fillId="0" borderId="0" xfId="3" applyFont="1"/>
    <xf numFmtId="0" fontId="2" fillId="0" borderId="6" xfId="3" applyBorder="1" applyAlignment="1">
      <alignment vertical="center"/>
    </xf>
    <xf numFmtId="0" fontId="15" fillId="5" borderId="8" xfId="2" applyFont="1" applyFill="1" applyBorder="1" applyAlignment="1">
      <alignment horizontal="center" vertical="center"/>
    </xf>
    <xf numFmtId="0" fontId="2" fillId="0" borderId="7" xfId="3" applyBorder="1" applyAlignment="1">
      <alignment vertical="center"/>
    </xf>
    <xf numFmtId="0" fontId="2" fillId="4" borderId="0" xfId="3" applyFill="1" applyAlignment="1">
      <alignment vertical="center"/>
    </xf>
    <xf numFmtId="0" fontId="17" fillId="0" borderId="0" xfId="4" applyFont="1" applyFill="1" applyBorder="1"/>
    <xf numFmtId="0" fontId="9" fillId="0" borderId="9" xfId="3" applyFont="1" applyBorder="1"/>
    <xf numFmtId="0" fontId="2" fillId="0" borderId="0" xfId="3" applyAlignment="1">
      <alignment vertical="top" wrapText="1"/>
    </xf>
    <xf numFmtId="0" fontId="2" fillId="0" borderId="10" xfId="3" applyBorder="1"/>
    <xf numFmtId="0" fontId="2" fillId="0" borderId="9" xfId="3" applyBorder="1"/>
    <xf numFmtId="0" fontId="2" fillId="0" borderId="11" xfId="3" applyBorder="1"/>
    <xf numFmtId="0" fontId="4" fillId="2" borderId="0" xfId="0" applyFont="1" applyFill="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0" xfId="0" applyFill="1" applyBorder="1" applyAlignment="1"/>
    <xf numFmtId="0" fontId="0" fillId="0" borderId="12" xfId="0" applyFill="1" applyBorder="1" applyAlignment="1"/>
    <xf numFmtId="0" fontId="8" fillId="0" borderId="13" xfId="0" applyFont="1" applyFill="1" applyBorder="1" applyAlignment="1">
      <alignment horizontal="centerContinuous"/>
    </xf>
    <xf numFmtId="0" fontId="10" fillId="0" borderId="0" xfId="2" applyAlignment="1">
      <alignment horizontal="center" vertical="center" wrapText="1"/>
    </xf>
    <xf numFmtId="0" fontId="0" fillId="0" borderId="0" xfId="0" pivotButton="1"/>
    <xf numFmtId="0" fontId="0" fillId="0" borderId="0" xfId="0" applyNumberFormat="1"/>
    <xf numFmtId="167" fontId="0" fillId="0" borderId="0" xfId="0" applyNumberFormat="1" applyAlignment="1">
      <alignment horizontal="center"/>
    </xf>
    <xf numFmtId="10" fontId="0" fillId="0" borderId="0" xfId="0" applyNumberFormat="1"/>
    <xf numFmtId="167" fontId="0" fillId="0" borderId="0" xfId="0" applyNumberFormat="1"/>
    <xf numFmtId="0" fontId="0" fillId="3" borderId="0" xfId="0" applyFill="1"/>
    <xf numFmtId="170" fontId="0" fillId="0" borderId="0" xfId="0" applyNumberFormat="1" applyAlignment="1">
      <alignment horizontal="left"/>
    </xf>
    <xf numFmtId="170" fontId="0" fillId="0" borderId="0" xfId="0" applyNumberFormat="1" applyAlignment="1">
      <alignment horizontal="left" vertical="center"/>
    </xf>
    <xf numFmtId="170" fontId="0" fillId="0" borderId="0" xfId="0" applyNumberFormat="1"/>
  </cellXfs>
  <cellStyles count="5">
    <cellStyle name="Comma" xfId="1" builtinId="3"/>
    <cellStyle name="Hyperlink" xfId="2" builtinId="8"/>
    <cellStyle name="Hyperlink 2 2" xfId="4" xr:uid="{F249171E-1D60-42F4-A03F-480C913218A3}"/>
    <cellStyle name="Normal" xfId="0" builtinId="0"/>
    <cellStyle name="Normal 2" xfId="3" xr:uid="{0CD8B2A8-DB45-4C19-8BF1-7AC1BB4A4279}"/>
  </cellStyles>
  <dxfs count="25">
    <dxf>
      <font>
        <b/>
        <color theme="1"/>
      </font>
      <border>
        <bottom style="thin">
          <color theme="9"/>
        </bottom>
        <vertical/>
        <horizontal/>
      </border>
    </dxf>
    <dxf>
      <font>
        <color theme="1"/>
      </font>
      <border diagonalUp="0" diagonalDown="0">
        <left/>
        <right/>
        <top/>
        <bottom/>
        <vertical/>
        <horizontal/>
      </border>
    </dxf>
    <dxf>
      <numFmt numFmtId="170" formatCode="[$-809]dd\ mmmm\ yyyy;@"/>
    </dxf>
    <dxf>
      <numFmt numFmtId="170" formatCode="[$-809]dd\ mmmm\ yyyy;@"/>
    </dxf>
    <dxf>
      <numFmt numFmtId="170" formatCode="[$-809]dd\ mmmm\ yyyy;@"/>
      <alignment horizontal="left" vertical="center" textRotation="0" wrapText="0" indent="0" justifyLastLine="0" shrinkToFit="0" readingOrder="0"/>
    </dxf>
    <dxf>
      <numFmt numFmtId="170" formatCode="[$-809]dd\ mmmm\ yyyy;@"/>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1" defaultTableStyle="TableStyleMedium2" defaultPivotStyle="PivotStyleLight16">
    <tableStyle name="SlicerStyleLight6 2" pivot="0" table="0" count="10" xr9:uid="{98360673-016F-4D42-956A-60BA93A883A9}">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06/relationships/rdArray" Target="richData/rdarray.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06/relationships/rdRichValueStructure" Target="richData/rdrichvaluestructure.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Data).xlsx]Manager Revenue!PivotTable7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'Manager Revenue'!$B$3</c:f>
              <c:strCache>
                <c:ptCount val="1"/>
                <c:pt idx="0">
                  <c:v>Total</c:v>
                </c:pt>
              </c:strCache>
            </c:strRef>
          </c:tx>
          <c:spPr>
            <a:solidFill>
              <a:schemeClr val="accent1"/>
            </a:solidFill>
            <a:ln>
              <a:noFill/>
            </a:ln>
            <a:effectLst/>
          </c:spPr>
          <c:invertIfNegative val="0"/>
          <c:cat>
            <c:strRef>
              <c:f>'Manager Revenue'!$A$4:$A$9</c:f>
              <c:strCache>
                <c:ptCount val="5"/>
                <c:pt idx="0">
                  <c:v>Remy Monet</c:v>
                </c:pt>
                <c:pt idx="1">
                  <c:v>Walter Muller</c:v>
                </c:pt>
                <c:pt idx="2">
                  <c:v>Pablo Perez</c:v>
                </c:pt>
                <c:pt idx="3">
                  <c:v>Tom Jackson</c:v>
                </c:pt>
                <c:pt idx="4">
                  <c:v>Joao Silva</c:v>
                </c:pt>
              </c:strCache>
            </c:strRef>
          </c:cat>
          <c:val>
            <c:numRef>
              <c:f>'Manager Revenue'!$B$4:$B$9</c:f>
              <c:numCache>
                <c:formatCode>"£"#,##0.00</c:formatCode>
                <c:ptCount val="5"/>
                <c:pt idx="0">
                  <c:v>81931.16</c:v>
                </c:pt>
                <c:pt idx="1">
                  <c:v>100698.95000000001</c:v>
                </c:pt>
                <c:pt idx="2">
                  <c:v>143836.02000000005</c:v>
                </c:pt>
                <c:pt idx="3">
                  <c:v>211522.87999999995</c:v>
                </c:pt>
                <c:pt idx="4">
                  <c:v>283555.36</c:v>
                </c:pt>
              </c:numCache>
            </c:numRef>
          </c:val>
          <c:extLst>
            <c:ext xmlns:c16="http://schemas.microsoft.com/office/drawing/2014/chart" uri="{C3380CC4-5D6E-409C-BE32-E72D297353CC}">
              <c16:uniqueId val="{00000000-C524-4BBA-AF68-48D5E62F02EE}"/>
            </c:ext>
          </c:extLst>
        </c:ser>
        <c:dLbls>
          <c:showLegendKey val="0"/>
          <c:showVal val="0"/>
          <c:showCatName val="0"/>
          <c:showSerName val="0"/>
          <c:showPercent val="0"/>
          <c:showBubbleSize val="0"/>
        </c:dLbls>
        <c:gapWidth val="182"/>
        <c:axId val="336401872"/>
        <c:axId val="378467536"/>
      </c:barChart>
      <c:catAx>
        <c:axId val="3364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Data).xlsx]Most Profit from Product!PivotTable7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Profit from Product'!$B$3</c:f>
              <c:strCache>
                <c:ptCount val="1"/>
                <c:pt idx="0">
                  <c:v>Total</c:v>
                </c:pt>
              </c:strCache>
            </c:strRef>
          </c:tx>
          <c:spPr>
            <a:solidFill>
              <a:schemeClr val="accent1"/>
            </a:solidFill>
            <a:ln>
              <a:noFill/>
            </a:ln>
            <a:effectLst/>
          </c:spPr>
          <c:invertIfNegative val="0"/>
          <c:cat>
            <c:strRef>
              <c:f>'Most Profit from Product'!$A$4:$A$9</c:f>
              <c:strCache>
                <c:ptCount val="5"/>
                <c:pt idx="0">
                  <c:v>Burgers</c:v>
                </c:pt>
                <c:pt idx="1">
                  <c:v>Beverages</c:v>
                </c:pt>
                <c:pt idx="2">
                  <c:v>Fries</c:v>
                </c:pt>
                <c:pt idx="3">
                  <c:v>Chicken Sandwiches</c:v>
                </c:pt>
                <c:pt idx="4">
                  <c:v>Sides &amp; Other</c:v>
                </c:pt>
              </c:strCache>
            </c:strRef>
          </c:cat>
          <c:val>
            <c:numRef>
              <c:f>'Most Profit from Product'!$B$4:$B$9</c:f>
              <c:numCache>
                <c:formatCode>"£"#,##0.00</c:formatCode>
                <c:ptCount val="5"/>
                <c:pt idx="0">
                  <c:v>123561.93000000001</c:v>
                </c:pt>
                <c:pt idx="1">
                  <c:v>56129.559999999983</c:v>
                </c:pt>
                <c:pt idx="2">
                  <c:v>47716.880000000012</c:v>
                </c:pt>
                <c:pt idx="3">
                  <c:v>36792.700000000012</c:v>
                </c:pt>
                <c:pt idx="4">
                  <c:v>19354.29</c:v>
                </c:pt>
              </c:numCache>
            </c:numRef>
          </c:val>
          <c:extLst>
            <c:ext xmlns:c16="http://schemas.microsoft.com/office/drawing/2014/chart" uri="{C3380CC4-5D6E-409C-BE32-E72D297353CC}">
              <c16:uniqueId val="{00000000-0593-45DE-A8F4-DA597BF0697F}"/>
            </c:ext>
          </c:extLst>
        </c:ser>
        <c:dLbls>
          <c:showLegendKey val="0"/>
          <c:showVal val="0"/>
          <c:showCatName val="0"/>
          <c:showSerName val="0"/>
          <c:showPercent val="0"/>
          <c:showBubbleSize val="0"/>
        </c:dLbls>
        <c:gapWidth val="182"/>
        <c:axId val="336401872"/>
        <c:axId val="378467536"/>
      </c:barChart>
      <c:catAx>
        <c:axId val="3364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Data).xlsx]Sales by Week-Month!PivotTable7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Week-Month'!$B$3</c:f>
              <c:strCache>
                <c:ptCount val="1"/>
                <c:pt idx="0">
                  <c:v>Total</c:v>
                </c:pt>
              </c:strCache>
            </c:strRef>
          </c:tx>
          <c:spPr>
            <a:ln w="28575" cap="rnd">
              <a:solidFill>
                <a:schemeClr val="accent1"/>
              </a:solidFill>
              <a:round/>
            </a:ln>
            <a:effectLst/>
          </c:spPr>
          <c:marker>
            <c:symbol val="none"/>
          </c:marker>
          <c:cat>
            <c:multiLvlStrRef>
              <c:f>'Sales by Week-Month'!$A$4:$A$25</c:f>
              <c:multiLvlStrCache>
                <c:ptCount val="19"/>
                <c:lvl>
                  <c:pt idx="0">
                    <c:v>07-Nov</c:v>
                  </c:pt>
                  <c:pt idx="1">
                    <c:v>13-Nov</c:v>
                  </c:pt>
                  <c:pt idx="2">
                    <c:v>14-Nov</c:v>
                  </c:pt>
                  <c:pt idx="3">
                    <c:v>19-Nov</c:v>
                  </c:pt>
                  <c:pt idx="4">
                    <c:v>20-Nov</c:v>
                  </c:pt>
                  <c:pt idx="5">
                    <c:v>23-Nov</c:v>
                  </c:pt>
                  <c:pt idx="6">
                    <c:v>12-Dec</c:v>
                  </c:pt>
                  <c:pt idx="7">
                    <c:v>13-Dec</c:v>
                  </c:pt>
                  <c:pt idx="8">
                    <c:v>14-Dec</c:v>
                  </c:pt>
                  <c:pt idx="9">
                    <c:v>15-Dec</c:v>
                  </c:pt>
                  <c:pt idx="10">
                    <c:v>16-Dec</c:v>
                  </c:pt>
                  <c:pt idx="11">
                    <c:v>17-Dec</c:v>
                  </c:pt>
                  <c:pt idx="12">
                    <c:v>18-Dec</c:v>
                  </c:pt>
                  <c:pt idx="13">
                    <c:v>19-Dec</c:v>
                  </c:pt>
                  <c:pt idx="14">
                    <c:v>20-Dec</c:v>
                  </c:pt>
                  <c:pt idx="15">
                    <c:v>21-Dec</c:v>
                  </c:pt>
                  <c:pt idx="16">
                    <c:v>22-Dec</c:v>
                  </c:pt>
                  <c:pt idx="17">
                    <c:v>23-Dec</c:v>
                  </c:pt>
                  <c:pt idx="18">
                    <c:v>24-Dec</c:v>
                  </c:pt>
                </c:lvl>
                <c:lvl>
                  <c:pt idx="0">
                    <c:v>Nov</c:v>
                  </c:pt>
                  <c:pt idx="6">
                    <c:v>Dec</c:v>
                  </c:pt>
                </c:lvl>
              </c:multiLvlStrCache>
            </c:multiLvlStrRef>
          </c:cat>
          <c:val>
            <c:numRef>
              <c:f>'Sales by Week-Month'!$B$4:$B$25</c:f>
              <c:numCache>
                <c:formatCode>"£"#,##0.00</c:formatCode>
                <c:ptCount val="19"/>
                <c:pt idx="0">
                  <c:v>1002.99</c:v>
                </c:pt>
                <c:pt idx="1">
                  <c:v>45926.19</c:v>
                </c:pt>
                <c:pt idx="2">
                  <c:v>31543.909999999996</c:v>
                </c:pt>
                <c:pt idx="3">
                  <c:v>7414.1100000000006</c:v>
                </c:pt>
                <c:pt idx="4">
                  <c:v>8219.1200000000008</c:v>
                </c:pt>
                <c:pt idx="5">
                  <c:v>4601.8200000000006</c:v>
                </c:pt>
                <c:pt idx="6">
                  <c:v>3003.09</c:v>
                </c:pt>
                <c:pt idx="7">
                  <c:v>14619.48</c:v>
                </c:pt>
                <c:pt idx="8">
                  <c:v>14623.630000000001</c:v>
                </c:pt>
                <c:pt idx="9">
                  <c:v>14415.79</c:v>
                </c:pt>
                <c:pt idx="10">
                  <c:v>15019.080000000002</c:v>
                </c:pt>
                <c:pt idx="11">
                  <c:v>15425.850000000002</c:v>
                </c:pt>
                <c:pt idx="12">
                  <c:v>15620.7</c:v>
                </c:pt>
                <c:pt idx="13">
                  <c:v>15824.460000000001</c:v>
                </c:pt>
                <c:pt idx="14">
                  <c:v>16019.310000000001</c:v>
                </c:pt>
                <c:pt idx="15">
                  <c:v>16422</c:v>
                </c:pt>
                <c:pt idx="16">
                  <c:v>16621</c:v>
                </c:pt>
                <c:pt idx="17">
                  <c:v>16017.710000000001</c:v>
                </c:pt>
                <c:pt idx="18">
                  <c:v>11215.119999999999</c:v>
                </c:pt>
              </c:numCache>
            </c:numRef>
          </c:val>
          <c:smooth val="0"/>
          <c:extLst>
            <c:ext xmlns:c16="http://schemas.microsoft.com/office/drawing/2014/chart" uri="{C3380CC4-5D6E-409C-BE32-E72D297353CC}">
              <c16:uniqueId val="{00000000-9A3D-4381-91BE-52D84A16C884}"/>
            </c:ext>
          </c:extLst>
        </c:ser>
        <c:dLbls>
          <c:showLegendKey val="0"/>
          <c:showVal val="0"/>
          <c:showCatName val="0"/>
          <c:showSerName val="0"/>
          <c:showPercent val="0"/>
          <c:showBubbleSize val="0"/>
        </c:dLbls>
        <c:smooth val="0"/>
        <c:axId val="336401872"/>
        <c:axId val="378467536"/>
      </c:lineChart>
      <c:catAx>
        <c:axId val="3364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Data).xlsx]Sales By Payment Method!PivotTable7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pivotFmt>
    </c:pivotFmts>
    <c:plotArea>
      <c:layout/>
      <c:barChart>
        <c:barDir val="bar"/>
        <c:grouping val="clustered"/>
        <c:varyColors val="0"/>
        <c:ser>
          <c:idx val="0"/>
          <c:order val="0"/>
          <c:tx>
            <c:strRef>
              <c:f>'Sales By Payment Method'!$B$3</c:f>
              <c:strCache>
                <c:ptCount val="1"/>
                <c:pt idx="0">
                  <c:v>Sum of Revenue2</c:v>
                </c:pt>
              </c:strCache>
            </c:strRef>
          </c:tx>
          <c:spPr>
            <a:solidFill>
              <a:schemeClr val="bg1">
                <a:lumMod val="85000"/>
              </a:schemeClr>
            </a:solidFill>
            <a:ln>
              <a:noFill/>
            </a:ln>
            <a:effectLst/>
          </c:spPr>
          <c:invertIfNegative val="0"/>
          <c:dPt>
            <c:idx val="1"/>
            <c:invertIfNegative val="0"/>
            <c:bubble3D val="0"/>
            <c:spPr>
              <a:solidFill>
                <a:schemeClr val="bg1">
                  <a:lumMod val="85000"/>
                </a:schemeClr>
              </a:solidFill>
              <a:ln>
                <a:noFill/>
              </a:ln>
              <a:effectLst/>
            </c:spPr>
          </c:dPt>
          <c:cat>
            <c:strRef>
              <c:f>'Sales By Payment Method'!$A$4:$A$7</c:f>
              <c:strCache>
                <c:ptCount val="3"/>
                <c:pt idx="0">
                  <c:v> Gift Card</c:v>
                </c:pt>
                <c:pt idx="1">
                  <c:v> Credit Card</c:v>
                </c:pt>
                <c:pt idx="2">
                  <c:v> Cash</c:v>
                </c:pt>
              </c:strCache>
            </c:strRef>
          </c:cat>
          <c:val>
            <c:numRef>
              <c:f>'Sales By Payment Method'!$B$4:$B$7</c:f>
              <c:numCache>
                <c:formatCode>0.00%</c:formatCode>
                <c:ptCount val="3"/>
                <c:pt idx="0">
                  <c:v>1</c:v>
                </c:pt>
                <c:pt idx="1">
                  <c:v>1</c:v>
                </c:pt>
                <c:pt idx="2">
                  <c:v>1</c:v>
                </c:pt>
              </c:numCache>
            </c:numRef>
          </c:val>
          <c:extLst>
            <c:ext xmlns:c16="http://schemas.microsoft.com/office/drawing/2014/chart" uri="{C3380CC4-5D6E-409C-BE32-E72D297353CC}">
              <c16:uniqueId val="{00000000-FAD1-41EB-A259-80FFB7646EC3}"/>
            </c:ext>
          </c:extLst>
        </c:ser>
        <c:ser>
          <c:idx val="1"/>
          <c:order val="1"/>
          <c:tx>
            <c:strRef>
              <c:f>'Sales By Payment Method'!$C$3</c:f>
              <c:strCache>
                <c:ptCount val="1"/>
                <c:pt idx="0">
                  <c:v>Sum of Revenue</c:v>
                </c:pt>
              </c:strCache>
            </c:strRef>
          </c:tx>
          <c:spPr>
            <a:solidFill>
              <a:schemeClr val="accent2"/>
            </a:solidFill>
            <a:ln>
              <a:noFill/>
            </a:ln>
            <a:effectLst/>
          </c:spPr>
          <c:invertIfNegative val="0"/>
          <c:cat>
            <c:strRef>
              <c:f>'Sales By Payment Method'!$A$4:$A$7</c:f>
              <c:strCache>
                <c:ptCount val="3"/>
                <c:pt idx="0">
                  <c:v> Gift Card</c:v>
                </c:pt>
                <c:pt idx="1">
                  <c:v> Credit Card</c:v>
                </c:pt>
                <c:pt idx="2">
                  <c:v> Cash</c:v>
                </c:pt>
              </c:strCache>
            </c:strRef>
          </c:cat>
          <c:val>
            <c:numRef>
              <c:f>'Sales By Payment Method'!$C$4:$C$7</c:f>
              <c:numCache>
                <c:formatCode>0.00%</c:formatCode>
                <c:ptCount val="3"/>
                <c:pt idx="0">
                  <c:v>0.2408846723969528</c:v>
                </c:pt>
                <c:pt idx="1">
                  <c:v>0.28876590447805323</c:v>
                </c:pt>
                <c:pt idx="2">
                  <c:v>0.47034942312499406</c:v>
                </c:pt>
              </c:numCache>
            </c:numRef>
          </c:val>
          <c:extLst>
            <c:ext xmlns:c16="http://schemas.microsoft.com/office/drawing/2014/chart" uri="{C3380CC4-5D6E-409C-BE32-E72D297353CC}">
              <c16:uniqueId val="{00000001-FAD1-41EB-A259-80FFB7646EC3}"/>
            </c:ext>
          </c:extLst>
        </c:ser>
        <c:dLbls>
          <c:showLegendKey val="0"/>
          <c:showVal val="0"/>
          <c:showCatName val="0"/>
          <c:showSerName val="0"/>
          <c:showPercent val="0"/>
          <c:showBubbleSize val="0"/>
        </c:dLbls>
        <c:gapWidth val="150"/>
        <c:overlap val="100"/>
        <c:axId val="336401872"/>
        <c:axId val="378467536"/>
      </c:barChart>
      <c:catAx>
        <c:axId val="3364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Data).xlsx]Sales By Payment Method!PivotTable7</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a:t>Payment Method</a:t>
            </a:r>
          </a:p>
        </c:rich>
      </c:tx>
      <c:layout>
        <c:manualLayout>
          <c:xMode val="edge"/>
          <c:yMode val="edge"/>
          <c:x val="4.1749348584654872E-2"/>
          <c:y val="2.462610524931795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pivotFmt>
      <c:pivotFmt>
        <c:idx val="11"/>
        <c:spPr>
          <a:solidFill>
            <a:schemeClr val="accent6">
              <a:lumMod val="75000"/>
            </a:schemeClr>
          </a:solidFill>
          <a:ln cap="sq">
            <a:noFill/>
          </a:ln>
          <a:effectLst>
            <a:glow rad="63500">
              <a:schemeClr val="accent6">
                <a:lumMod val="20000"/>
                <a:lumOff val="8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Payment Method'!$B$3</c:f>
              <c:strCache>
                <c:ptCount val="1"/>
                <c:pt idx="0">
                  <c:v>Sum of Revenue2</c:v>
                </c:pt>
              </c:strCache>
            </c:strRef>
          </c:tx>
          <c:spPr>
            <a:solidFill>
              <a:schemeClr val="bg1">
                <a:lumMod val="85000"/>
              </a:schemeClr>
            </a:solidFill>
            <a:ln>
              <a:noFill/>
            </a:ln>
            <a:effectLst/>
          </c:spPr>
          <c:invertIfNegative val="0"/>
          <c:dPt>
            <c:idx val="1"/>
            <c:invertIfNegative val="0"/>
            <c:bubble3D val="0"/>
            <c:spPr>
              <a:solidFill>
                <a:schemeClr val="bg1">
                  <a:lumMod val="85000"/>
                </a:schemeClr>
              </a:solidFill>
              <a:ln>
                <a:noFill/>
              </a:ln>
              <a:effectLst/>
            </c:spPr>
          </c:dPt>
          <c:dPt>
            <c:idx val="2"/>
            <c:invertIfNegative val="0"/>
            <c:bubble3D val="0"/>
            <c:extLst>
              <c:ext xmlns:c16="http://schemas.microsoft.com/office/drawing/2014/chart" uri="{C3380CC4-5D6E-409C-BE32-E72D297353CC}">
                <c16:uniqueId val="{00000001-1625-49CC-9674-25ADE1697B66}"/>
              </c:ext>
            </c:extLst>
          </c:dPt>
          <c:cat>
            <c:strRef>
              <c:f>'Sales By Payment Method'!$A$4:$A$7</c:f>
              <c:strCache>
                <c:ptCount val="3"/>
                <c:pt idx="0">
                  <c:v> Gift Card</c:v>
                </c:pt>
                <c:pt idx="1">
                  <c:v> Credit Card</c:v>
                </c:pt>
                <c:pt idx="2">
                  <c:v> Cash</c:v>
                </c:pt>
              </c:strCache>
            </c:strRef>
          </c:cat>
          <c:val>
            <c:numRef>
              <c:f>'Sales By Payment Method'!$B$4:$B$7</c:f>
              <c:numCache>
                <c:formatCode>0.00%</c:formatCode>
                <c:ptCount val="3"/>
                <c:pt idx="0">
                  <c:v>1</c:v>
                </c:pt>
                <c:pt idx="1">
                  <c:v>1</c:v>
                </c:pt>
                <c:pt idx="2">
                  <c:v>1</c:v>
                </c:pt>
              </c:numCache>
            </c:numRef>
          </c:val>
          <c:extLst>
            <c:ext xmlns:c16="http://schemas.microsoft.com/office/drawing/2014/chart" uri="{C3380CC4-5D6E-409C-BE32-E72D297353CC}">
              <c16:uniqueId val="{00000002-1625-49CC-9674-25ADE1697B66}"/>
            </c:ext>
          </c:extLst>
        </c:ser>
        <c:ser>
          <c:idx val="1"/>
          <c:order val="1"/>
          <c:tx>
            <c:strRef>
              <c:f>'Sales By Payment Method'!$C$3</c:f>
              <c:strCache>
                <c:ptCount val="1"/>
                <c:pt idx="0">
                  <c:v>Sum of Revenue</c:v>
                </c:pt>
              </c:strCache>
            </c:strRef>
          </c:tx>
          <c:spPr>
            <a:solidFill>
              <a:schemeClr val="accent6">
                <a:lumMod val="75000"/>
              </a:schemeClr>
            </a:solidFill>
            <a:ln cap="sq">
              <a:noFill/>
            </a:ln>
            <a:effectLst>
              <a:glow rad="63500">
                <a:schemeClr val="accent6">
                  <a:lumMod val="20000"/>
                  <a:lumOff val="80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Method'!$A$4:$A$7</c:f>
              <c:strCache>
                <c:ptCount val="3"/>
                <c:pt idx="0">
                  <c:v> Gift Card</c:v>
                </c:pt>
                <c:pt idx="1">
                  <c:v> Credit Card</c:v>
                </c:pt>
                <c:pt idx="2">
                  <c:v> Cash</c:v>
                </c:pt>
              </c:strCache>
            </c:strRef>
          </c:cat>
          <c:val>
            <c:numRef>
              <c:f>'Sales By Payment Method'!$C$4:$C$7</c:f>
              <c:numCache>
                <c:formatCode>0.00%</c:formatCode>
                <c:ptCount val="3"/>
                <c:pt idx="0">
                  <c:v>0.2408846723969528</c:v>
                </c:pt>
                <c:pt idx="1">
                  <c:v>0.28876590447805323</c:v>
                </c:pt>
                <c:pt idx="2">
                  <c:v>0.47034942312499406</c:v>
                </c:pt>
              </c:numCache>
            </c:numRef>
          </c:val>
          <c:extLst>
            <c:ext xmlns:c16="http://schemas.microsoft.com/office/drawing/2014/chart" uri="{C3380CC4-5D6E-409C-BE32-E72D297353CC}">
              <c16:uniqueId val="{00000003-1625-49CC-9674-25ADE1697B66}"/>
            </c:ext>
          </c:extLst>
        </c:ser>
        <c:dLbls>
          <c:showLegendKey val="0"/>
          <c:showVal val="0"/>
          <c:showCatName val="0"/>
          <c:showSerName val="0"/>
          <c:showPercent val="0"/>
          <c:showBubbleSize val="0"/>
        </c:dLbls>
        <c:gapWidth val="90"/>
        <c:overlap val="100"/>
        <c:axId val="336401872"/>
        <c:axId val="378467536"/>
      </c:barChart>
      <c:catAx>
        <c:axId val="3364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3640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Data).xlsx]Most Profit from Product!PivotTable7</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Most Profitable Product</a:t>
            </a:r>
          </a:p>
        </c:rich>
      </c:tx>
      <c:layout>
        <c:manualLayout>
          <c:xMode val="edge"/>
          <c:yMode val="edge"/>
          <c:x val="2.6802467311482104E-2"/>
          <c:y val="2.621351780101315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Profit from Product'!$B$3</c:f>
              <c:strCache>
                <c:ptCount val="1"/>
                <c:pt idx="0">
                  <c:v>Total</c:v>
                </c:pt>
              </c:strCache>
            </c:strRef>
          </c:tx>
          <c:spPr>
            <a:solidFill>
              <a:schemeClr val="accent6">
                <a:lumMod val="75000"/>
              </a:schemeClr>
            </a:solidFill>
            <a:ln>
              <a:noFill/>
            </a:ln>
            <a:effectLst/>
          </c:spPr>
          <c:invertIfNegative val="0"/>
          <c:cat>
            <c:strRef>
              <c:f>'Most Profit from Product'!$A$4:$A$9</c:f>
              <c:strCache>
                <c:ptCount val="5"/>
                <c:pt idx="0">
                  <c:v>Burgers</c:v>
                </c:pt>
                <c:pt idx="1">
                  <c:v>Beverages</c:v>
                </c:pt>
                <c:pt idx="2">
                  <c:v>Fries</c:v>
                </c:pt>
                <c:pt idx="3">
                  <c:v>Chicken Sandwiches</c:v>
                </c:pt>
                <c:pt idx="4">
                  <c:v>Sides &amp; Other</c:v>
                </c:pt>
              </c:strCache>
            </c:strRef>
          </c:cat>
          <c:val>
            <c:numRef>
              <c:f>'Most Profit from Product'!$B$4:$B$9</c:f>
              <c:numCache>
                <c:formatCode>"£"#,##0.00</c:formatCode>
                <c:ptCount val="5"/>
                <c:pt idx="0">
                  <c:v>123561.93000000001</c:v>
                </c:pt>
                <c:pt idx="1">
                  <c:v>56129.559999999983</c:v>
                </c:pt>
                <c:pt idx="2">
                  <c:v>47716.880000000012</c:v>
                </c:pt>
                <c:pt idx="3">
                  <c:v>36792.700000000012</c:v>
                </c:pt>
                <c:pt idx="4">
                  <c:v>19354.29</c:v>
                </c:pt>
              </c:numCache>
            </c:numRef>
          </c:val>
          <c:extLst>
            <c:ext xmlns:c16="http://schemas.microsoft.com/office/drawing/2014/chart" uri="{C3380CC4-5D6E-409C-BE32-E72D297353CC}">
              <c16:uniqueId val="{00000000-7FDB-4B39-9F01-D54FBECFF5EE}"/>
            </c:ext>
          </c:extLst>
        </c:ser>
        <c:dLbls>
          <c:showLegendKey val="0"/>
          <c:showVal val="0"/>
          <c:showCatName val="0"/>
          <c:showSerName val="0"/>
          <c:showPercent val="0"/>
          <c:showBubbleSize val="0"/>
        </c:dLbls>
        <c:gapWidth val="72"/>
        <c:axId val="336401872"/>
        <c:axId val="378467536"/>
      </c:barChart>
      <c:catAx>
        <c:axId val="3364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Data).xlsx]Manager Revenue!PivotTable7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Manager</a:t>
            </a:r>
          </a:p>
        </c:rich>
      </c:tx>
      <c:layout>
        <c:manualLayout>
          <c:xMode val="edge"/>
          <c:yMode val="edge"/>
          <c:x val="2.7778054700156901E-2"/>
          <c:y val="2.56045425541212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'Manager Revenue'!$B$3</c:f>
              <c:strCache>
                <c:ptCount val="1"/>
                <c:pt idx="0">
                  <c:v>Total</c:v>
                </c:pt>
              </c:strCache>
            </c:strRef>
          </c:tx>
          <c:spPr>
            <a:solidFill>
              <a:schemeClr val="accent6">
                <a:lumMod val="75000"/>
              </a:schemeClr>
            </a:solidFill>
            <a:ln>
              <a:noFill/>
            </a:ln>
            <a:effectLst/>
          </c:spPr>
          <c:invertIfNegative val="0"/>
          <c:cat>
            <c:strRef>
              <c:f>'Manager Revenue'!$A$4:$A$9</c:f>
              <c:strCache>
                <c:ptCount val="5"/>
                <c:pt idx="0">
                  <c:v>Remy Monet</c:v>
                </c:pt>
                <c:pt idx="1">
                  <c:v>Walter Muller</c:v>
                </c:pt>
                <c:pt idx="2">
                  <c:v>Pablo Perez</c:v>
                </c:pt>
                <c:pt idx="3">
                  <c:v>Tom Jackson</c:v>
                </c:pt>
                <c:pt idx="4">
                  <c:v>Joao Silva</c:v>
                </c:pt>
              </c:strCache>
            </c:strRef>
          </c:cat>
          <c:val>
            <c:numRef>
              <c:f>'Manager Revenue'!$B$4:$B$9</c:f>
              <c:numCache>
                <c:formatCode>"£"#,##0.00</c:formatCode>
                <c:ptCount val="5"/>
                <c:pt idx="0">
                  <c:v>81931.16</c:v>
                </c:pt>
                <c:pt idx="1">
                  <c:v>100698.95000000001</c:v>
                </c:pt>
                <c:pt idx="2">
                  <c:v>143836.02000000005</c:v>
                </c:pt>
                <c:pt idx="3">
                  <c:v>211522.87999999995</c:v>
                </c:pt>
                <c:pt idx="4">
                  <c:v>283555.36</c:v>
                </c:pt>
              </c:numCache>
            </c:numRef>
          </c:val>
          <c:extLst>
            <c:ext xmlns:c16="http://schemas.microsoft.com/office/drawing/2014/chart" uri="{C3380CC4-5D6E-409C-BE32-E72D297353CC}">
              <c16:uniqueId val="{00000000-9CC5-4519-9194-D8412501F547}"/>
            </c:ext>
          </c:extLst>
        </c:ser>
        <c:dLbls>
          <c:showLegendKey val="0"/>
          <c:showVal val="0"/>
          <c:showCatName val="0"/>
          <c:showSerName val="0"/>
          <c:showPercent val="0"/>
          <c:showBubbleSize val="0"/>
        </c:dLbls>
        <c:gapWidth val="107"/>
        <c:axId val="336401872"/>
        <c:axId val="378467536"/>
      </c:barChart>
      <c:catAx>
        <c:axId val="3364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Sample Data (Creating a Dashboard for Data).xlsx]Sales by Week-Month!PivotTable7</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Sales Over Time</a:t>
            </a:r>
          </a:p>
        </c:rich>
      </c:tx>
      <c:layout>
        <c:manualLayout>
          <c:xMode val="edge"/>
          <c:yMode val="edge"/>
          <c:x val="2.8034635808362521E-2"/>
          <c:y val="2.866798053446073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6"/>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Week-Month'!$B$3</c:f>
              <c:strCache>
                <c:ptCount val="1"/>
                <c:pt idx="0">
                  <c:v>Total</c:v>
                </c:pt>
              </c:strCache>
            </c:strRef>
          </c:tx>
          <c:spPr>
            <a:ln w="28575" cap="rnd">
              <a:solidFill>
                <a:schemeClr val="accent6">
                  <a:lumMod val="75000"/>
                </a:schemeClr>
              </a:solidFill>
              <a:round/>
            </a:ln>
            <a:effectLst/>
          </c:spPr>
          <c:marker>
            <c:symbol val="circle"/>
            <c:size val="6"/>
            <c:spPr>
              <a:solidFill>
                <a:schemeClr val="accent6">
                  <a:lumMod val="75000"/>
                </a:schemeClr>
              </a:solidFill>
              <a:ln w="9525">
                <a:solidFill>
                  <a:schemeClr val="accent6">
                    <a:lumMod val="75000"/>
                  </a:schemeClr>
                </a:solidFill>
              </a:ln>
              <a:effectLst/>
            </c:spPr>
          </c:marker>
          <c:cat>
            <c:multiLvlStrRef>
              <c:f>'Sales by Week-Month'!$A$4:$A$25</c:f>
              <c:multiLvlStrCache>
                <c:ptCount val="19"/>
                <c:lvl>
                  <c:pt idx="0">
                    <c:v>07-Nov</c:v>
                  </c:pt>
                  <c:pt idx="1">
                    <c:v>13-Nov</c:v>
                  </c:pt>
                  <c:pt idx="2">
                    <c:v>14-Nov</c:v>
                  </c:pt>
                  <c:pt idx="3">
                    <c:v>19-Nov</c:v>
                  </c:pt>
                  <c:pt idx="4">
                    <c:v>20-Nov</c:v>
                  </c:pt>
                  <c:pt idx="5">
                    <c:v>23-Nov</c:v>
                  </c:pt>
                  <c:pt idx="6">
                    <c:v>12-Dec</c:v>
                  </c:pt>
                  <c:pt idx="7">
                    <c:v>13-Dec</c:v>
                  </c:pt>
                  <c:pt idx="8">
                    <c:v>14-Dec</c:v>
                  </c:pt>
                  <c:pt idx="9">
                    <c:v>15-Dec</c:v>
                  </c:pt>
                  <c:pt idx="10">
                    <c:v>16-Dec</c:v>
                  </c:pt>
                  <c:pt idx="11">
                    <c:v>17-Dec</c:v>
                  </c:pt>
                  <c:pt idx="12">
                    <c:v>18-Dec</c:v>
                  </c:pt>
                  <c:pt idx="13">
                    <c:v>19-Dec</c:v>
                  </c:pt>
                  <c:pt idx="14">
                    <c:v>20-Dec</c:v>
                  </c:pt>
                  <c:pt idx="15">
                    <c:v>21-Dec</c:v>
                  </c:pt>
                  <c:pt idx="16">
                    <c:v>22-Dec</c:v>
                  </c:pt>
                  <c:pt idx="17">
                    <c:v>23-Dec</c:v>
                  </c:pt>
                  <c:pt idx="18">
                    <c:v>24-Dec</c:v>
                  </c:pt>
                </c:lvl>
                <c:lvl>
                  <c:pt idx="0">
                    <c:v>Nov</c:v>
                  </c:pt>
                  <c:pt idx="6">
                    <c:v>Dec</c:v>
                  </c:pt>
                </c:lvl>
              </c:multiLvlStrCache>
            </c:multiLvlStrRef>
          </c:cat>
          <c:val>
            <c:numRef>
              <c:f>'Sales by Week-Month'!$B$4:$B$25</c:f>
              <c:numCache>
                <c:formatCode>"£"#,##0.00</c:formatCode>
                <c:ptCount val="19"/>
                <c:pt idx="0">
                  <c:v>1002.99</c:v>
                </c:pt>
                <c:pt idx="1">
                  <c:v>45926.19</c:v>
                </c:pt>
                <c:pt idx="2">
                  <c:v>31543.909999999996</c:v>
                </c:pt>
                <c:pt idx="3">
                  <c:v>7414.1100000000006</c:v>
                </c:pt>
                <c:pt idx="4">
                  <c:v>8219.1200000000008</c:v>
                </c:pt>
                <c:pt idx="5">
                  <c:v>4601.8200000000006</c:v>
                </c:pt>
                <c:pt idx="6">
                  <c:v>3003.09</c:v>
                </c:pt>
                <c:pt idx="7">
                  <c:v>14619.48</c:v>
                </c:pt>
                <c:pt idx="8">
                  <c:v>14623.630000000001</c:v>
                </c:pt>
                <c:pt idx="9">
                  <c:v>14415.79</c:v>
                </c:pt>
                <c:pt idx="10">
                  <c:v>15019.080000000002</c:v>
                </c:pt>
                <c:pt idx="11">
                  <c:v>15425.850000000002</c:v>
                </c:pt>
                <c:pt idx="12">
                  <c:v>15620.7</c:v>
                </c:pt>
                <c:pt idx="13">
                  <c:v>15824.460000000001</c:v>
                </c:pt>
                <c:pt idx="14">
                  <c:v>16019.310000000001</c:v>
                </c:pt>
                <c:pt idx="15">
                  <c:v>16422</c:v>
                </c:pt>
                <c:pt idx="16">
                  <c:v>16621</c:v>
                </c:pt>
                <c:pt idx="17">
                  <c:v>16017.710000000001</c:v>
                </c:pt>
                <c:pt idx="18">
                  <c:v>11215.119999999999</c:v>
                </c:pt>
              </c:numCache>
            </c:numRef>
          </c:val>
          <c:smooth val="1"/>
          <c:extLst>
            <c:ext xmlns:c16="http://schemas.microsoft.com/office/drawing/2014/chart" uri="{C3380CC4-5D6E-409C-BE32-E72D297353CC}">
              <c16:uniqueId val="{00000000-B51B-49E6-A5FA-73B285B0DE89}"/>
            </c:ext>
          </c:extLst>
        </c:ser>
        <c:dLbls>
          <c:showLegendKey val="0"/>
          <c:showVal val="0"/>
          <c:showCatName val="0"/>
          <c:showSerName val="0"/>
          <c:showPercent val="0"/>
          <c:showBubbleSize val="0"/>
        </c:dLbls>
        <c:marker val="1"/>
        <c:smooth val="0"/>
        <c:axId val="336401872"/>
        <c:axId val="378467536"/>
      </c:lineChart>
      <c:catAx>
        <c:axId val="3364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67536"/>
        <c:crosses val="autoZero"/>
        <c:auto val="1"/>
        <c:lblAlgn val="ctr"/>
        <c:lblOffset val="100"/>
        <c:noMultiLvlLbl val="0"/>
      </c:catAx>
      <c:valAx>
        <c:axId val="37846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tx>
        <cx:txData>
          <cx:v>Outlier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Outlier Chart</a:t>
          </a:r>
        </a:p>
      </cx:txPr>
    </cx:title>
    <cx:plotArea>
      <cx:plotAreaRegion>
        <cx:series layoutId="boxWhisker" uniqueId="{00000000-8A6A-4497-8BB5-C2EFA700B99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microsoft.com/office/2014/relationships/chartEx" Target="../charts/chartEx1.xml"/><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chart" Target="../charts/chart8.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chart" Target="../charts/chart7.xml"/><Relationship Id="rId5" Type="http://schemas.openxmlformats.org/officeDocument/2006/relationships/image" Target="../media/image11.png"/><Relationship Id="rId10" Type="http://schemas.openxmlformats.org/officeDocument/2006/relationships/chart" Target="../charts/chart6.xml"/><Relationship Id="rId4" Type="http://schemas.openxmlformats.org/officeDocument/2006/relationships/image" Target="../media/image10.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345082DF-DF01-465A-BF9F-D6B142866F58}"/>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18</xdr:col>
      <xdr:colOff>47625</xdr:colOff>
      <xdr:row>27</xdr:row>
      <xdr:rowOff>190500</xdr:rowOff>
    </xdr:from>
    <xdr:to>
      <xdr:col>19</xdr:col>
      <xdr:colOff>9632</xdr:colOff>
      <xdr:row>31</xdr:row>
      <xdr:rowOff>19138</xdr:rowOff>
    </xdr:to>
    <xdr:pic>
      <xdr:nvPicPr>
        <xdr:cNvPr id="2" name="Picture 1">
          <a:extLst>
            <a:ext uri="{FF2B5EF4-FFF2-40B4-BE49-F238E27FC236}">
              <a16:creationId xmlns:a16="http://schemas.microsoft.com/office/drawing/2014/main" id="{7122A5B2-C14B-88B0-3CDD-C60A5628752E}"/>
            </a:ext>
          </a:extLst>
        </xdr:cNvPr>
        <xdr:cNvPicPr>
          <a:picLocks noChangeAspect="1"/>
        </xdr:cNvPicPr>
      </xdr:nvPicPr>
      <xdr:blipFill>
        <a:blip xmlns:r="http://schemas.openxmlformats.org/officeDocument/2006/relationships" r:embed="rId1"/>
        <a:stretch>
          <a:fillRect/>
        </a:stretch>
      </xdr:blipFill>
      <xdr:spPr>
        <a:xfrm>
          <a:off x="15792450" y="5591175"/>
          <a:ext cx="771633" cy="628738"/>
        </a:xfrm>
        <a:prstGeom prst="rect">
          <a:avLst/>
        </a:prstGeom>
      </xdr:spPr>
    </xdr:pic>
    <xdr:clientData/>
  </xdr:twoCellAnchor>
  <xdr:twoCellAnchor editAs="oneCell">
    <xdr:from>
      <xdr:col>18</xdr:col>
      <xdr:colOff>85725</xdr:colOff>
      <xdr:row>31</xdr:row>
      <xdr:rowOff>133350</xdr:rowOff>
    </xdr:from>
    <xdr:to>
      <xdr:col>18</xdr:col>
      <xdr:colOff>752568</xdr:colOff>
      <xdr:row>36</xdr:row>
      <xdr:rowOff>47753</xdr:rowOff>
    </xdr:to>
    <xdr:pic>
      <xdr:nvPicPr>
        <xdr:cNvPr id="3" name="Picture 2">
          <a:extLst>
            <a:ext uri="{FF2B5EF4-FFF2-40B4-BE49-F238E27FC236}">
              <a16:creationId xmlns:a16="http://schemas.microsoft.com/office/drawing/2014/main" id="{198F250A-0989-2B78-C017-8BC5F32F7A27}"/>
            </a:ext>
          </a:extLst>
        </xdr:cNvPr>
        <xdr:cNvPicPr>
          <a:picLocks noChangeAspect="1"/>
        </xdr:cNvPicPr>
      </xdr:nvPicPr>
      <xdr:blipFill>
        <a:blip xmlns:r="http://schemas.openxmlformats.org/officeDocument/2006/relationships" r:embed="rId2"/>
        <a:stretch>
          <a:fillRect/>
        </a:stretch>
      </xdr:blipFill>
      <xdr:spPr>
        <a:xfrm>
          <a:off x="15830550" y="6334125"/>
          <a:ext cx="666843" cy="914528"/>
        </a:xfrm>
        <a:prstGeom prst="rect">
          <a:avLst/>
        </a:prstGeom>
      </xdr:spPr>
    </xdr:pic>
    <xdr:clientData/>
  </xdr:twoCellAnchor>
  <xdr:twoCellAnchor editAs="oneCell">
    <xdr:from>
      <xdr:col>14</xdr:col>
      <xdr:colOff>19051</xdr:colOff>
      <xdr:row>53</xdr:row>
      <xdr:rowOff>38101</xdr:rowOff>
    </xdr:from>
    <xdr:to>
      <xdr:col>16</xdr:col>
      <xdr:colOff>548781</xdr:colOff>
      <xdr:row>59</xdr:row>
      <xdr:rowOff>114301</xdr:rowOff>
    </xdr:to>
    <xdr:pic>
      <xdr:nvPicPr>
        <xdr:cNvPr id="4" name="Picture 3">
          <a:extLst>
            <a:ext uri="{FF2B5EF4-FFF2-40B4-BE49-F238E27FC236}">
              <a16:creationId xmlns:a16="http://schemas.microsoft.com/office/drawing/2014/main" id="{3493D63A-72D9-B87D-1144-F8CC20CF351E}"/>
            </a:ext>
          </a:extLst>
        </xdr:cNvPr>
        <xdr:cNvPicPr>
          <a:picLocks noChangeAspect="1"/>
        </xdr:cNvPicPr>
      </xdr:nvPicPr>
      <xdr:blipFill>
        <a:blip xmlns:r="http://schemas.openxmlformats.org/officeDocument/2006/relationships" r:embed="rId3"/>
        <a:stretch>
          <a:fillRect/>
        </a:stretch>
      </xdr:blipFill>
      <xdr:spPr>
        <a:xfrm>
          <a:off x="12115801" y="10658476"/>
          <a:ext cx="2682381" cy="1276350"/>
        </a:xfrm>
        <a:prstGeom prst="rect">
          <a:avLst/>
        </a:prstGeom>
      </xdr:spPr>
    </xdr:pic>
    <xdr:clientData/>
  </xdr:twoCellAnchor>
  <xdr:twoCellAnchor editAs="oneCell">
    <xdr:from>
      <xdr:col>16</xdr:col>
      <xdr:colOff>552450</xdr:colOff>
      <xdr:row>52</xdr:row>
      <xdr:rowOff>142875</xdr:rowOff>
    </xdr:from>
    <xdr:to>
      <xdr:col>19</xdr:col>
      <xdr:colOff>632874</xdr:colOff>
      <xdr:row>64</xdr:row>
      <xdr:rowOff>133350</xdr:rowOff>
    </xdr:to>
    <xdr:pic>
      <xdr:nvPicPr>
        <xdr:cNvPr id="5" name="Picture 4">
          <a:extLst>
            <a:ext uri="{FF2B5EF4-FFF2-40B4-BE49-F238E27FC236}">
              <a16:creationId xmlns:a16="http://schemas.microsoft.com/office/drawing/2014/main" id="{A240E1AE-7F80-8D28-64A7-BA1C1755FE12}"/>
            </a:ext>
          </a:extLst>
        </xdr:cNvPr>
        <xdr:cNvPicPr>
          <a:picLocks noChangeAspect="1"/>
        </xdr:cNvPicPr>
      </xdr:nvPicPr>
      <xdr:blipFill>
        <a:blip xmlns:r="http://schemas.openxmlformats.org/officeDocument/2006/relationships" r:embed="rId4"/>
        <a:stretch>
          <a:fillRect/>
        </a:stretch>
      </xdr:blipFill>
      <xdr:spPr>
        <a:xfrm>
          <a:off x="14801850" y="10553700"/>
          <a:ext cx="2661699" cy="2409825"/>
        </a:xfrm>
        <a:prstGeom prst="rect">
          <a:avLst/>
        </a:prstGeom>
      </xdr:spPr>
    </xdr:pic>
    <xdr:clientData/>
  </xdr:twoCellAnchor>
  <xdr:twoCellAnchor>
    <xdr:from>
      <xdr:col>14</xdr:col>
      <xdr:colOff>1307</xdr:colOff>
      <xdr:row>78</xdr:row>
      <xdr:rowOff>6176</xdr:rowOff>
    </xdr:from>
    <xdr:to>
      <xdr:col>18</xdr:col>
      <xdr:colOff>805961</xdr:colOff>
      <xdr:row>91</xdr:row>
      <xdr:rowOff>161193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C341D61-0A63-C6DA-1BBC-919884CE66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120038" y="15495291"/>
              <a:ext cx="4731885" cy="27267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231687</xdr:colOff>
      <xdr:row>82</xdr:row>
      <xdr:rowOff>190499</xdr:rowOff>
    </xdr:from>
    <xdr:to>
      <xdr:col>22</xdr:col>
      <xdr:colOff>606442</xdr:colOff>
      <xdr:row>90</xdr:row>
      <xdr:rowOff>93981</xdr:rowOff>
    </xdr:to>
    <xdr:pic>
      <xdr:nvPicPr>
        <xdr:cNvPr id="7" name="Picture 6">
          <a:extLst>
            <a:ext uri="{FF2B5EF4-FFF2-40B4-BE49-F238E27FC236}">
              <a16:creationId xmlns:a16="http://schemas.microsoft.com/office/drawing/2014/main" id="{EB512B6E-9DCF-2277-FE14-EC51AC973077}"/>
            </a:ext>
          </a:extLst>
        </xdr:cNvPr>
        <xdr:cNvPicPr>
          <a:picLocks noChangeAspect="1"/>
        </xdr:cNvPicPr>
      </xdr:nvPicPr>
      <xdr:blipFill>
        <a:blip xmlns:r="http://schemas.openxmlformats.org/officeDocument/2006/relationships" r:embed="rId6"/>
        <a:stretch>
          <a:fillRect/>
        </a:stretch>
      </xdr:blipFill>
      <xdr:spPr>
        <a:xfrm>
          <a:off x="17051716" y="16775205"/>
          <a:ext cx="2795225" cy="15171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533399</xdr:colOff>
      <xdr:row>1</xdr:row>
      <xdr:rowOff>133350</xdr:rowOff>
    </xdr:from>
    <xdr:to>
      <xdr:col>11</xdr:col>
      <xdr:colOff>47624</xdr:colOff>
      <xdr:row>18</xdr:row>
      <xdr:rowOff>123825</xdr:rowOff>
    </xdr:to>
    <xdr:graphicFrame macro="">
      <xdr:nvGraphicFramePr>
        <xdr:cNvPr id="2" name="Chart 1">
          <a:extLst>
            <a:ext uri="{FF2B5EF4-FFF2-40B4-BE49-F238E27FC236}">
              <a16:creationId xmlns:a16="http://schemas.microsoft.com/office/drawing/2014/main" id="{AF2EAA7C-256E-5D89-9B71-661B28EB8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533399</xdr:colOff>
      <xdr:row>1</xdr:row>
      <xdr:rowOff>133350</xdr:rowOff>
    </xdr:from>
    <xdr:to>
      <xdr:col>11</xdr:col>
      <xdr:colOff>47624</xdr:colOff>
      <xdr:row>18</xdr:row>
      <xdr:rowOff>123825</xdr:rowOff>
    </xdr:to>
    <xdr:graphicFrame macro="">
      <xdr:nvGraphicFramePr>
        <xdr:cNvPr id="2" name="Chart 1">
          <a:extLst>
            <a:ext uri="{FF2B5EF4-FFF2-40B4-BE49-F238E27FC236}">
              <a16:creationId xmlns:a16="http://schemas.microsoft.com/office/drawing/2014/main" id="{20CF58B7-6256-4DDD-A2F7-B97296497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533399</xdr:colOff>
      <xdr:row>1</xdr:row>
      <xdr:rowOff>133350</xdr:rowOff>
    </xdr:from>
    <xdr:to>
      <xdr:col>11</xdr:col>
      <xdr:colOff>47624</xdr:colOff>
      <xdr:row>18</xdr:row>
      <xdr:rowOff>123825</xdr:rowOff>
    </xdr:to>
    <xdr:graphicFrame macro="">
      <xdr:nvGraphicFramePr>
        <xdr:cNvPr id="2" name="Chart 1">
          <a:extLst>
            <a:ext uri="{FF2B5EF4-FFF2-40B4-BE49-F238E27FC236}">
              <a16:creationId xmlns:a16="http://schemas.microsoft.com/office/drawing/2014/main" id="{9AFB0D45-5F4E-4668-9816-B0C44DA60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190499</xdr:colOff>
      <xdr:row>8</xdr:row>
      <xdr:rowOff>133350</xdr:rowOff>
    </xdr:from>
    <xdr:to>
      <xdr:col>7</xdr:col>
      <xdr:colOff>371474</xdr:colOff>
      <xdr:row>25</xdr:row>
      <xdr:rowOff>123825</xdr:rowOff>
    </xdr:to>
    <xdr:graphicFrame macro="">
      <xdr:nvGraphicFramePr>
        <xdr:cNvPr id="2" name="Chart 1">
          <a:extLst>
            <a:ext uri="{FF2B5EF4-FFF2-40B4-BE49-F238E27FC236}">
              <a16:creationId xmlns:a16="http://schemas.microsoft.com/office/drawing/2014/main" id="{29F82585-9C5D-419A-A969-51CB4D1F2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276225</xdr:colOff>
      <xdr:row>6</xdr:row>
      <xdr:rowOff>57869</xdr:rowOff>
    </xdr:from>
    <xdr:to>
      <xdr:col>3</xdr:col>
      <xdr:colOff>266700</xdr:colOff>
      <xdr:row>10</xdr:row>
      <xdr:rowOff>113624</xdr:rowOff>
    </xdr:to>
    <xdr:grpSp>
      <xdr:nvGrpSpPr>
        <xdr:cNvPr id="31" name="Group 30">
          <a:extLst>
            <a:ext uri="{FF2B5EF4-FFF2-40B4-BE49-F238E27FC236}">
              <a16:creationId xmlns:a16="http://schemas.microsoft.com/office/drawing/2014/main" id="{C9CF0534-CC16-A04B-BD9F-F6F3944E0971}"/>
            </a:ext>
          </a:extLst>
        </xdr:cNvPr>
        <xdr:cNvGrpSpPr/>
      </xdr:nvGrpSpPr>
      <xdr:grpSpPr>
        <a:xfrm>
          <a:off x="276225" y="1282512"/>
          <a:ext cx="2548618" cy="872183"/>
          <a:chOff x="276225" y="635553"/>
          <a:chExt cx="2548618" cy="872185"/>
        </a:xfrm>
      </xdr:grpSpPr>
      <xdr:sp macro="" textlink="">
        <xdr:nvSpPr>
          <xdr:cNvPr id="2" name="Rectangle: Rounded Corners 1">
            <a:extLst>
              <a:ext uri="{FF2B5EF4-FFF2-40B4-BE49-F238E27FC236}">
                <a16:creationId xmlns:a16="http://schemas.microsoft.com/office/drawing/2014/main" id="{63D9560C-C0C7-2819-A4FA-AF51DBE2032A}"/>
              </a:ext>
            </a:extLst>
          </xdr:cNvPr>
          <xdr:cNvSpPr/>
        </xdr:nvSpPr>
        <xdr:spPr>
          <a:xfrm>
            <a:off x="276225" y="635553"/>
            <a:ext cx="2548618" cy="872185"/>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TextBox 2">
            <a:extLst>
              <a:ext uri="{FF2B5EF4-FFF2-40B4-BE49-F238E27FC236}">
                <a16:creationId xmlns:a16="http://schemas.microsoft.com/office/drawing/2014/main" id="{DAFB0EC9-1DE4-6985-5E21-FAEF49355703}"/>
              </a:ext>
            </a:extLst>
          </xdr:cNvPr>
          <xdr:cNvSpPr txBox="1"/>
        </xdr:nvSpPr>
        <xdr:spPr>
          <a:xfrm>
            <a:off x="963319" y="793296"/>
            <a:ext cx="1394732" cy="293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t>Total Revenue</a:t>
            </a:r>
          </a:p>
        </xdr:txBody>
      </xdr:sp>
      <xdr:sp macro="" textlink="Cards!A4">
        <xdr:nvSpPr>
          <xdr:cNvPr id="4" name="TextBox 3">
            <a:extLst>
              <a:ext uri="{FF2B5EF4-FFF2-40B4-BE49-F238E27FC236}">
                <a16:creationId xmlns:a16="http://schemas.microsoft.com/office/drawing/2014/main" id="{31F4AC2B-4C0A-D1E8-DDA8-15EC45A68F6D}"/>
              </a:ext>
            </a:extLst>
          </xdr:cNvPr>
          <xdr:cNvSpPr txBox="1"/>
        </xdr:nvSpPr>
        <xdr:spPr>
          <a:xfrm>
            <a:off x="962622" y="1029828"/>
            <a:ext cx="1394732" cy="28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3E4A15-EE3C-4146-B1D0-F76270F72DFB}" type="TxLink">
              <a:rPr lang="en-US" sz="1600" b="1" i="0" u="none" strike="noStrike">
                <a:solidFill>
                  <a:srgbClr val="000000"/>
                </a:solidFill>
                <a:latin typeface="Calibri"/>
                <a:ea typeface="Calibri"/>
                <a:cs typeface="Calibri"/>
              </a:rPr>
              <a:pPr algn="l"/>
              <a:t>£283,555.36</a:t>
            </a:fld>
            <a:endParaRPr lang="en-GB" sz="1400" b="1"/>
          </a:p>
        </xdr:txBody>
      </xdr:sp>
      <xdr:grpSp>
        <xdr:nvGrpSpPr>
          <xdr:cNvPr id="8" name="Group 7">
            <a:extLst>
              <a:ext uri="{FF2B5EF4-FFF2-40B4-BE49-F238E27FC236}">
                <a16:creationId xmlns:a16="http://schemas.microsoft.com/office/drawing/2014/main" id="{3B34A796-C33C-E10A-4C3E-576CB2FBB664}"/>
              </a:ext>
            </a:extLst>
          </xdr:cNvPr>
          <xdr:cNvGrpSpPr/>
        </xdr:nvGrpSpPr>
        <xdr:grpSpPr>
          <a:xfrm>
            <a:off x="433039" y="784468"/>
            <a:ext cx="518432" cy="536354"/>
            <a:chOff x="419100" y="808696"/>
            <a:chExt cx="525734" cy="523410"/>
          </a:xfrm>
        </xdr:grpSpPr>
        <xdr:sp macro="" textlink="">
          <xdr:nvSpPr>
            <xdr:cNvPr id="5" name="Oval 4">
              <a:extLst>
                <a:ext uri="{FF2B5EF4-FFF2-40B4-BE49-F238E27FC236}">
                  <a16:creationId xmlns:a16="http://schemas.microsoft.com/office/drawing/2014/main" id="{FB5409D7-BA83-E28F-3251-9DD5E8861F19}"/>
                </a:ext>
              </a:extLst>
            </xdr:cNvPr>
            <xdr:cNvSpPr/>
          </xdr:nvSpPr>
          <xdr:spPr>
            <a:xfrm>
              <a:off x="419100" y="808696"/>
              <a:ext cx="525734" cy="52341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7" name="Graphic 6" descr="Pound with solid fill">
              <a:extLst>
                <a:ext uri="{FF2B5EF4-FFF2-40B4-BE49-F238E27FC236}">
                  <a16:creationId xmlns:a16="http://schemas.microsoft.com/office/drawing/2014/main" id="{A9F8F7D3-38D9-DF7E-07A0-076740E7C4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58" y="889309"/>
              <a:ext cx="354284" cy="351960"/>
            </a:xfrm>
            <a:prstGeom prst="rect">
              <a:avLst/>
            </a:prstGeom>
          </xdr:spPr>
        </xdr:pic>
      </xdr:grpSp>
    </xdr:grpSp>
    <xdr:clientData/>
  </xdr:twoCellAnchor>
  <xdr:twoCellAnchor>
    <xdr:from>
      <xdr:col>4</xdr:col>
      <xdr:colOff>99608</xdr:colOff>
      <xdr:row>6</xdr:row>
      <xdr:rowOff>57869</xdr:rowOff>
    </xdr:from>
    <xdr:to>
      <xdr:col>7</xdr:col>
      <xdr:colOff>447418</xdr:colOff>
      <xdr:row>10</xdr:row>
      <xdr:rowOff>113624</xdr:rowOff>
    </xdr:to>
    <xdr:grpSp>
      <xdr:nvGrpSpPr>
        <xdr:cNvPr id="32" name="Group 31">
          <a:extLst>
            <a:ext uri="{FF2B5EF4-FFF2-40B4-BE49-F238E27FC236}">
              <a16:creationId xmlns:a16="http://schemas.microsoft.com/office/drawing/2014/main" id="{49471C94-E9B4-7D21-A1CB-968618B3CC6E}"/>
            </a:ext>
          </a:extLst>
        </xdr:cNvPr>
        <xdr:cNvGrpSpPr/>
      </xdr:nvGrpSpPr>
      <xdr:grpSpPr>
        <a:xfrm>
          <a:off x="3474179" y="1282512"/>
          <a:ext cx="2524953" cy="872183"/>
          <a:chOff x="3373211" y="635553"/>
          <a:chExt cx="2521403" cy="872185"/>
        </a:xfrm>
      </xdr:grpSpPr>
      <xdr:sp macro="" textlink="">
        <xdr:nvSpPr>
          <xdr:cNvPr id="9" name="Rectangle: Rounded Corners 8">
            <a:extLst>
              <a:ext uri="{FF2B5EF4-FFF2-40B4-BE49-F238E27FC236}">
                <a16:creationId xmlns:a16="http://schemas.microsoft.com/office/drawing/2014/main" id="{60CA3FA7-4396-1DEA-6896-7F2E8EEA807F}"/>
              </a:ext>
            </a:extLst>
          </xdr:cNvPr>
          <xdr:cNvSpPr/>
        </xdr:nvSpPr>
        <xdr:spPr>
          <a:xfrm>
            <a:off x="3373211" y="635553"/>
            <a:ext cx="2521403" cy="872185"/>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TextBox 9">
            <a:extLst>
              <a:ext uri="{FF2B5EF4-FFF2-40B4-BE49-F238E27FC236}">
                <a16:creationId xmlns:a16="http://schemas.microsoft.com/office/drawing/2014/main" id="{66A4C1E5-CB0A-4C22-05E3-73A5B7C38072}"/>
              </a:ext>
            </a:extLst>
          </xdr:cNvPr>
          <xdr:cNvSpPr txBox="1"/>
        </xdr:nvSpPr>
        <xdr:spPr>
          <a:xfrm>
            <a:off x="4060305" y="793296"/>
            <a:ext cx="1378403" cy="293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t>Total Purchases</a:t>
            </a:r>
          </a:p>
        </xdr:txBody>
      </xdr:sp>
      <xdr:sp macro="" textlink="Cards!C4">
        <xdr:nvSpPr>
          <xdr:cNvPr id="11" name="TextBox 10">
            <a:extLst>
              <a:ext uri="{FF2B5EF4-FFF2-40B4-BE49-F238E27FC236}">
                <a16:creationId xmlns:a16="http://schemas.microsoft.com/office/drawing/2014/main" id="{8F57FB8E-4816-1D7A-FAE5-035AF59F956C}"/>
              </a:ext>
            </a:extLst>
          </xdr:cNvPr>
          <xdr:cNvSpPr txBox="1"/>
        </xdr:nvSpPr>
        <xdr:spPr>
          <a:xfrm>
            <a:off x="4059608" y="1029828"/>
            <a:ext cx="1378403" cy="28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2848B31-07BA-41FD-9757-8976F0420EC4}" type="TxLink">
              <a:rPr lang="en-US" sz="1600" b="1" i="0" u="none" strike="noStrike">
                <a:solidFill>
                  <a:srgbClr val="000000"/>
                </a:solidFill>
                <a:latin typeface="Calibri"/>
                <a:ea typeface="Calibri"/>
                <a:cs typeface="Calibri"/>
              </a:rPr>
              <a:t>78</a:t>
            </a:fld>
            <a:endParaRPr lang="en-GB" sz="1800" b="1"/>
          </a:p>
        </xdr:txBody>
      </xdr:sp>
      <xdr:grpSp>
        <xdr:nvGrpSpPr>
          <xdr:cNvPr id="12" name="Group 11">
            <a:extLst>
              <a:ext uri="{FF2B5EF4-FFF2-40B4-BE49-F238E27FC236}">
                <a16:creationId xmlns:a16="http://schemas.microsoft.com/office/drawing/2014/main" id="{F30BA3C5-74C8-51FB-066A-489F0A05CA53}"/>
              </a:ext>
            </a:extLst>
          </xdr:cNvPr>
          <xdr:cNvGrpSpPr/>
        </xdr:nvGrpSpPr>
        <xdr:grpSpPr>
          <a:xfrm>
            <a:off x="3524582" y="784468"/>
            <a:ext cx="523875" cy="536354"/>
            <a:chOff x="419100" y="808696"/>
            <a:chExt cx="525734" cy="523410"/>
          </a:xfrm>
        </xdr:grpSpPr>
        <xdr:sp macro="" textlink="">
          <xdr:nvSpPr>
            <xdr:cNvPr id="13" name="Oval 12">
              <a:extLst>
                <a:ext uri="{FF2B5EF4-FFF2-40B4-BE49-F238E27FC236}">
                  <a16:creationId xmlns:a16="http://schemas.microsoft.com/office/drawing/2014/main" id="{8536CBF6-177D-D4F5-D08F-F4840203F16C}"/>
                </a:ext>
              </a:extLst>
            </xdr:cNvPr>
            <xdr:cNvSpPr/>
          </xdr:nvSpPr>
          <xdr:spPr>
            <a:xfrm>
              <a:off x="419100" y="808696"/>
              <a:ext cx="525734" cy="52341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14" name="Graphic 13" descr="Shopping cart with solid fill">
              <a:extLst>
                <a:ext uri="{FF2B5EF4-FFF2-40B4-BE49-F238E27FC236}">
                  <a16:creationId xmlns:a16="http://schemas.microsoft.com/office/drawing/2014/main" id="{61FBD7F5-359A-3213-2C2E-FC2D63917E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14938" y="896720"/>
              <a:ext cx="349230" cy="351960"/>
            </a:xfrm>
            <a:prstGeom prst="rect">
              <a:avLst/>
            </a:prstGeom>
          </xdr:spPr>
        </xdr:pic>
      </xdr:grpSp>
    </xdr:grpSp>
    <xdr:clientData/>
  </xdr:twoCellAnchor>
  <xdr:twoCellAnchor>
    <xdr:from>
      <xdr:col>8</xdr:col>
      <xdr:colOff>412848</xdr:colOff>
      <xdr:row>6</xdr:row>
      <xdr:rowOff>57869</xdr:rowOff>
    </xdr:from>
    <xdr:to>
      <xdr:col>12</xdr:col>
      <xdr:colOff>212823</xdr:colOff>
      <xdr:row>10</xdr:row>
      <xdr:rowOff>113624</xdr:rowOff>
    </xdr:to>
    <xdr:grpSp>
      <xdr:nvGrpSpPr>
        <xdr:cNvPr id="33" name="Group 32">
          <a:extLst>
            <a:ext uri="{FF2B5EF4-FFF2-40B4-BE49-F238E27FC236}">
              <a16:creationId xmlns:a16="http://schemas.microsoft.com/office/drawing/2014/main" id="{686A243D-4ED1-4679-D5A9-11E2F1043E9C}"/>
            </a:ext>
          </a:extLst>
        </xdr:cNvPr>
        <xdr:cNvGrpSpPr/>
      </xdr:nvGrpSpPr>
      <xdr:grpSpPr>
        <a:xfrm>
          <a:off x="6644919" y="1282512"/>
          <a:ext cx="2521404" cy="872183"/>
          <a:chOff x="6611710" y="635553"/>
          <a:chExt cx="2521404" cy="872185"/>
        </a:xfrm>
      </xdr:grpSpPr>
      <xdr:sp macro="" textlink="">
        <xdr:nvSpPr>
          <xdr:cNvPr id="15" name="Rectangle: Rounded Corners 14">
            <a:extLst>
              <a:ext uri="{FF2B5EF4-FFF2-40B4-BE49-F238E27FC236}">
                <a16:creationId xmlns:a16="http://schemas.microsoft.com/office/drawing/2014/main" id="{74AE83EF-80D5-D201-95C5-D5131673F537}"/>
              </a:ext>
            </a:extLst>
          </xdr:cNvPr>
          <xdr:cNvSpPr/>
        </xdr:nvSpPr>
        <xdr:spPr>
          <a:xfrm>
            <a:off x="6611710" y="635553"/>
            <a:ext cx="2521404" cy="872185"/>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TextBox 15">
            <a:extLst>
              <a:ext uri="{FF2B5EF4-FFF2-40B4-BE49-F238E27FC236}">
                <a16:creationId xmlns:a16="http://schemas.microsoft.com/office/drawing/2014/main" id="{0DAD71C9-4300-FC4D-5CF9-5A620140A2FC}"/>
              </a:ext>
            </a:extLst>
          </xdr:cNvPr>
          <xdr:cNvSpPr txBox="1"/>
        </xdr:nvSpPr>
        <xdr:spPr>
          <a:xfrm>
            <a:off x="7298805" y="793296"/>
            <a:ext cx="1378403" cy="293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t>Avg Revenue</a:t>
            </a:r>
          </a:p>
        </xdr:txBody>
      </xdr:sp>
      <xdr:sp macro="" textlink="Cards!F4">
        <xdr:nvSpPr>
          <xdr:cNvPr id="17" name="TextBox 16">
            <a:extLst>
              <a:ext uri="{FF2B5EF4-FFF2-40B4-BE49-F238E27FC236}">
                <a16:creationId xmlns:a16="http://schemas.microsoft.com/office/drawing/2014/main" id="{1C24058C-99D3-6F6F-0E33-981C57E358E0}"/>
              </a:ext>
            </a:extLst>
          </xdr:cNvPr>
          <xdr:cNvSpPr txBox="1"/>
        </xdr:nvSpPr>
        <xdr:spPr>
          <a:xfrm>
            <a:off x="7298108" y="1029828"/>
            <a:ext cx="1378403" cy="28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FDDB758-A453-4C4F-B700-30A9CA08D571}" type="TxLink">
              <a:rPr lang="en-US" sz="1600" b="1" i="0" u="none" strike="noStrike">
                <a:solidFill>
                  <a:srgbClr val="000000"/>
                </a:solidFill>
                <a:latin typeface="Calibri"/>
                <a:ea typeface="Calibri"/>
                <a:cs typeface="Calibri"/>
              </a:rPr>
              <a:t>£3,635.33</a:t>
            </a:fld>
            <a:endParaRPr lang="en-GB" sz="1800" b="1"/>
          </a:p>
        </xdr:txBody>
      </xdr:sp>
      <xdr:grpSp>
        <xdr:nvGrpSpPr>
          <xdr:cNvPr id="18" name="Group 17">
            <a:extLst>
              <a:ext uri="{FF2B5EF4-FFF2-40B4-BE49-F238E27FC236}">
                <a16:creationId xmlns:a16="http://schemas.microsoft.com/office/drawing/2014/main" id="{F478EA1C-320D-A8E7-FECE-EF5FBC60E507}"/>
              </a:ext>
            </a:extLst>
          </xdr:cNvPr>
          <xdr:cNvGrpSpPr/>
        </xdr:nvGrpSpPr>
        <xdr:grpSpPr>
          <a:xfrm>
            <a:off x="6768524" y="784468"/>
            <a:ext cx="518433" cy="536354"/>
            <a:chOff x="419100" y="808696"/>
            <a:chExt cx="525734" cy="523410"/>
          </a:xfrm>
        </xdr:grpSpPr>
        <xdr:sp macro="" textlink="">
          <xdr:nvSpPr>
            <xdr:cNvPr id="19" name="Oval 18">
              <a:extLst>
                <a:ext uri="{FF2B5EF4-FFF2-40B4-BE49-F238E27FC236}">
                  <a16:creationId xmlns:a16="http://schemas.microsoft.com/office/drawing/2014/main" id="{0FD1B4ED-928B-FB67-C161-D9375944417E}"/>
                </a:ext>
              </a:extLst>
            </xdr:cNvPr>
            <xdr:cNvSpPr/>
          </xdr:nvSpPr>
          <xdr:spPr>
            <a:xfrm>
              <a:off x="419100" y="808696"/>
              <a:ext cx="525734" cy="52341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pic>
          <xdr:nvPicPr>
            <xdr:cNvPr id="20" name="Graphic 19" descr="Harvey Balls 20% with solid fill">
              <a:extLst>
                <a:ext uri="{FF2B5EF4-FFF2-40B4-BE49-F238E27FC236}">
                  <a16:creationId xmlns:a16="http://schemas.microsoft.com/office/drawing/2014/main" id="{F262844F-93BE-47D4-5796-78F06AA7548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8556" y="889309"/>
              <a:ext cx="347287" cy="351960"/>
            </a:xfrm>
            <a:prstGeom prst="rect">
              <a:avLst/>
            </a:prstGeom>
          </xdr:spPr>
        </xdr:pic>
      </xdr:grpSp>
    </xdr:grpSp>
    <xdr:clientData/>
  </xdr:twoCellAnchor>
  <xdr:twoCellAnchor>
    <xdr:from>
      <xdr:col>13</xdr:col>
      <xdr:colOff>178253</xdr:colOff>
      <xdr:row>6</xdr:row>
      <xdr:rowOff>57869</xdr:rowOff>
    </xdr:from>
    <xdr:to>
      <xdr:col>16</xdr:col>
      <xdr:colOff>664028</xdr:colOff>
      <xdr:row>10</xdr:row>
      <xdr:rowOff>113624</xdr:rowOff>
    </xdr:to>
    <xdr:grpSp>
      <xdr:nvGrpSpPr>
        <xdr:cNvPr id="34" name="Group 33">
          <a:extLst>
            <a:ext uri="{FF2B5EF4-FFF2-40B4-BE49-F238E27FC236}">
              <a16:creationId xmlns:a16="http://schemas.microsoft.com/office/drawing/2014/main" id="{7C706092-D2F4-6050-20FA-1802C631C536}"/>
            </a:ext>
          </a:extLst>
        </xdr:cNvPr>
        <xdr:cNvGrpSpPr/>
      </xdr:nvGrpSpPr>
      <xdr:grpSpPr>
        <a:xfrm>
          <a:off x="9812110" y="1282512"/>
          <a:ext cx="2526847" cy="872183"/>
          <a:chOff x="9812110" y="635553"/>
          <a:chExt cx="2526847" cy="872185"/>
        </a:xfrm>
      </xdr:grpSpPr>
      <xdr:sp macro="" textlink="">
        <xdr:nvSpPr>
          <xdr:cNvPr id="21" name="Rectangle: Rounded Corners 20">
            <a:extLst>
              <a:ext uri="{FF2B5EF4-FFF2-40B4-BE49-F238E27FC236}">
                <a16:creationId xmlns:a16="http://schemas.microsoft.com/office/drawing/2014/main" id="{C666F56B-B597-F3C4-9EA8-9108B0CEC72C}"/>
              </a:ext>
            </a:extLst>
          </xdr:cNvPr>
          <xdr:cNvSpPr/>
        </xdr:nvSpPr>
        <xdr:spPr>
          <a:xfrm>
            <a:off x="9812110" y="635553"/>
            <a:ext cx="2526847" cy="872185"/>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TextBox 21">
            <a:extLst>
              <a:ext uri="{FF2B5EF4-FFF2-40B4-BE49-F238E27FC236}">
                <a16:creationId xmlns:a16="http://schemas.microsoft.com/office/drawing/2014/main" id="{D6166B82-17C8-8A58-BCC2-1435A2DBA225}"/>
              </a:ext>
            </a:extLst>
          </xdr:cNvPr>
          <xdr:cNvSpPr txBox="1"/>
        </xdr:nvSpPr>
        <xdr:spPr>
          <a:xfrm>
            <a:off x="10499204" y="793296"/>
            <a:ext cx="1378404" cy="293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t>Peak Day</a:t>
            </a:r>
          </a:p>
        </xdr:txBody>
      </xdr:sp>
      <xdr:sp macro="" textlink="Cards!I4">
        <xdr:nvSpPr>
          <xdr:cNvPr id="23" name="TextBox 22">
            <a:extLst>
              <a:ext uri="{FF2B5EF4-FFF2-40B4-BE49-F238E27FC236}">
                <a16:creationId xmlns:a16="http://schemas.microsoft.com/office/drawing/2014/main" id="{6E39C0E2-56B3-6871-BB1C-25B52A1A1941}"/>
              </a:ext>
            </a:extLst>
          </xdr:cNvPr>
          <xdr:cNvSpPr txBox="1"/>
        </xdr:nvSpPr>
        <xdr:spPr>
          <a:xfrm>
            <a:off x="10498507" y="1029828"/>
            <a:ext cx="1378404" cy="28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659466-A7FC-4BB1-8096-B8EB126100E5}" type="TxLink">
              <a:rPr lang="en-US" sz="1600" b="1" i="0" u="none" strike="noStrike">
                <a:solidFill>
                  <a:srgbClr val="000000"/>
                </a:solidFill>
                <a:latin typeface="Calibri"/>
                <a:ea typeface="Calibri"/>
                <a:cs typeface="Calibri"/>
              </a:rPr>
              <a:t>13-Nov</a:t>
            </a:fld>
            <a:endParaRPr lang="en-GB" sz="1800" b="1"/>
          </a:p>
        </xdr:txBody>
      </xdr:sp>
      <xdr:grpSp>
        <xdr:nvGrpSpPr>
          <xdr:cNvPr id="24" name="Group 23">
            <a:extLst>
              <a:ext uri="{FF2B5EF4-FFF2-40B4-BE49-F238E27FC236}">
                <a16:creationId xmlns:a16="http://schemas.microsoft.com/office/drawing/2014/main" id="{6FB52EE1-B1A1-8C5D-7367-A2D44D6525A7}"/>
              </a:ext>
            </a:extLst>
          </xdr:cNvPr>
          <xdr:cNvGrpSpPr/>
        </xdr:nvGrpSpPr>
        <xdr:grpSpPr>
          <a:xfrm>
            <a:off x="9968924" y="784468"/>
            <a:ext cx="518432" cy="536354"/>
            <a:chOff x="419100" y="808696"/>
            <a:chExt cx="525734" cy="523410"/>
          </a:xfrm>
        </xdr:grpSpPr>
        <xdr:sp macro="" textlink="">
          <xdr:nvSpPr>
            <xdr:cNvPr id="25" name="Oval 24">
              <a:extLst>
                <a:ext uri="{FF2B5EF4-FFF2-40B4-BE49-F238E27FC236}">
                  <a16:creationId xmlns:a16="http://schemas.microsoft.com/office/drawing/2014/main" id="{25336092-4CC7-B69E-ECF0-02AE6FCEBA62}"/>
                </a:ext>
              </a:extLst>
            </xdr:cNvPr>
            <xdr:cNvSpPr/>
          </xdr:nvSpPr>
          <xdr:spPr>
            <a:xfrm>
              <a:off x="419100" y="808696"/>
              <a:ext cx="525734" cy="52341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26" name="Graphic 25" descr="Daily calendar with solid fill">
              <a:extLst>
                <a:ext uri="{FF2B5EF4-FFF2-40B4-BE49-F238E27FC236}">
                  <a16:creationId xmlns:a16="http://schemas.microsoft.com/office/drawing/2014/main" id="{9CF6058B-F8D1-71CC-9190-14E2C919F64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08556" y="889309"/>
              <a:ext cx="347287" cy="351960"/>
            </a:xfrm>
            <a:prstGeom prst="rect">
              <a:avLst/>
            </a:prstGeom>
          </xdr:spPr>
        </xdr:pic>
      </xdr:grpSp>
    </xdr:grpSp>
    <xdr:clientData/>
  </xdr:twoCellAnchor>
  <xdr:twoCellAnchor>
    <xdr:from>
      <xdr:col>10</xdr:col>
      <xdr:colOff>459441</xdr:colOff>
      <xdr:row>11</xdr:row>
      <xdr:rowOff>56616</xdr:rowOff>
    </xdr:from>
    <xdr:to>
      <xdr:col>16</xdr:col>
      <xdr:colOff>649941</xdr:colOff>
      <xdr:row>31</xdr:row>
      <xdr:rowOff>180498</xdr:rowOff>
    </xdr:to>
    <xdr:graphicFrame macro="">
      <xdr:nvGraphicFramePr>
        <xdr:cNvPr id="28" name="Chart 27">
          <a:extLst>
            <a:ext uri="{FF2B5EF4-FFF2-40B4-BE49-F238E27FC236}">
              <a16:creationId xmlns:a16="http://schemas.microsoft.com/office/drawing/2014/main" id="{7B60DF99-0630-41AA-B1CB-EC082B79D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268941</xdr:colOff>
      <xdr:row>32</xdr:row>
      <xdr:rowOff>135489</xdr:rowOff>
    </xdr:from>
    <xdr:to>
      <xdr:col>7</xdr:col>
      <xdr:colOff>313764</xdr:colOff>
      <xdr:row>49</xdr:row>
      <xdr:rowOff>57047</xdr:rowOff>
    </xdr:to>
    <xdr:graphicFrame macro="">
      <xdr:nvGraphicFramePr>
        <xdr:cNvPr id="29" name="Chart 28">
          <a:extLst>
            <a:ext uri="{FF2B5EF4-FFF2-40B4-BE49-F238E27FC236}">
              <a16:creationId xmlns:a16="http://schemas.microsoft.com/office/drawing/2014/main" id="{83EE5662-2C1C-49F0-B629-EE5EBD3FA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526675</xdr:colOff>
      <xdr:row>32</xdr:row>
      <xdr:rowOff>101870</xdr:rowOff>
    </xdr:from>
    <xdr:to>
      <xdr:col>16</xdr:col>
      <xdr:colOff>649941</xdr:colOff>
      <xdr:row>49</xdr:row>
      <xdr:rowOff>63770</xdr:rowOff>
    </xdr:to>
    <xdr:graphicFrame macro="">
      <xdr:nvGraphicFramePr>
        <xdr:cNvPr id="30" name="Chart 29">
          <a:extLst>
            <a:ext uri="{FF2B5EF4-FFF2-40B4-BE49-F238E27FC236}">
              <a16:creationId xmlns:a16="http://schemas.microsoft.com/office/drawing/2014/main" id="{BA2D97EE-8926-4027-8805-EBDD12546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93848</xdr:colOff>
      <xdr:row>6</xdr:row>
      <xdr:rowOff>57869</xdr:rowOff>
    </xdr:from>
    <xdr:to>
      <xdr:col>20</xdr:col>
      <xdr:colOff>672701</xdr:colOff>
      <xdr:row>16</xdr:row>
      <xdr:rowOff>176931</xdr:rowOff>
    </xdr:to>
    <xdr:grpSp>
      <xdr:nvGrpSpPr>
        <xdr:cNvPr id="37" name="Group 36">
          <a:extLst>
            <a:ext uri="{FF2B5EF4-FFF2-40B4-BE49-F238E27FC236}">
              <a16:creationId xmlns:a16="http://schemas.microsoft.com/office/drawing/2014/main" id="{E47EDECA-B667-6F60-103F-C8F6720EA5D1}"/>
            </a:ext>
          </a:extLst>
        </xdr:cNvPr>
        <xdr:cNvGrpSpPr/>
      </xdr:nvGrpSpPr>
      <xdr:grpSpPr>
        <a:xfrm>
          <a:off x="12449134" y="1282512"/>
          <a:ext cx="2619924" cy="2160133"/>
          <a:chOff x="12619224" y="494109"/>
          <a:chExt cx="2632681" cy="2143125"/>
        </a:xfrm>
      </xdr:grpSpPr>
      <xdr:sp macro="" textlink="">
        <xdr:nvSpPr>
          <xdr:cNvPr id="36" name="Rectangle: Rounded Corners 35">
            <a:extLst>
              <a:ext uri="{FF2B5EF4-FFF2-40B4-BE49-F238E27FC236}">
                <a16:creationId xmlns:a16="http://schemas.microsoft.com/office/drawing/2014/main" id="{E62254FE-1E51-C4D9-588C-5F2770EEF5C2}"/>
              </a:ext>
            </a:extLst>
          </xdr:cNvPr>
          <xdr:cNvSpPr/>
        </xdr:nvSpPr>
        <xdr:spPr>
          <a:xfrm>
            <a:off x="12619224" y="494109"/>
            <a:ext cx="2632681" cy="2143125"/>
          </a:xfrm>
          <a:prstGeom prst="roundRect">
            <a:avLst>
              <a:gd name="adj" fmla="val 8667"/>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35" name="Manager">
                <a:extLst>
                  <a:ext uri="{FF2B5EF4-FFF2-40B4-BE49-F238E27FC236}">
                    <a16:creationId xmlns:a16="http://schemas.microsoft.com/office/drawing/2014/main" id="{BB4D8F64-CBFA-5D25-9234-9A5D671285B6}"/>
                  </a:ext>
                </a:extLst>
              </xdr:cNvPr>
              <xdr:cNvGraphicFramePr/>
            </xdr:nvGraphicFramePr>
            <xdr:xfrm>
              <a:off x="12706699" y="632714"/>
              <a:ext cx="2457730" cy="1938757"/>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2536185" y="1422217"/>
                <a:ext cx="2445821" cy="1954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76200</xdr:colOff>
      <xdr:row>0</xdr:row>
      <xdr:rowOff>38100</xdr:rowOff>
    </xdr:from>
    <xdr:to>
      <xdr:col>21</xdr:col>
      <xdr:colOff>266700</xdr:colOff>
      <xdr:row>6</xdr:row>
      <xdr:rowOff>38100</xdr:rowOff>
    </xdr:to>
    <xdr:sp macro="" textlink="">
      <xdr:nvSpPr>
        <xdr:cNvPr id="38" name="Rectangle 37">
          <a:extLst>
            <a:ext uri="{FF2B5EF4-FFF2-40B4-BE49-F238E27FC236}">
              <a16:creationId xmlns:a16="http://schemas.microsoft.com/office/drawing/2014/main" id="{0DDF140F-CAF8-A174-BEA0-E54E750A13AB}"/>
            </a:ext>
          </a:extLst>
        </xdr:cNvPr>
        <xdr:cNvSpPr/>
      </xdr:nvSpPr>
      <xdr:spPr>
        <a:xfrm>
          <a:off x="76200" y="38100"/>
          <a:ext cx="15354300" cy="1200150"/>
        </a:xfrm>
        <a:custGeom>
          <a:avLst/>
          <a:gdLst>
            <a:gd name="csX0" fmla="*/ 0 w 15354300"/>
            <a:gd name="csY0" fmla="*/ 0 h 1152525"/>
            <a:gd name="csX1" fmla="*/ 15354300 w 15354300"/>
            <a:gd name="csY1" fmla="*/ 0 h 1152525"/>
            <a:gd name="csX2" fmla="*/ 15354300 w 15354300"/>
            <a:gd name="csY2" fmla="*/ 1152525 h 1152525"/>
            <a:gd name="csX3" fmla="*/ 0 w 15354300"/>
            <a:gd name="csY3" fmla="*/ 1152525 h 1152525"/>
            <a:gd name="csX4" fmla="*/ 0 w 15354300"/>
            <a:gd name="csY4" fmla="*/ 0 h 1152525"/>
          </a:gdLst>
          <a:ahLst/>
          <a:cxnLst>
            <a:cxn ang="0">
              <a:pos x="csX0" y="csY0"/>
            </a:cxn>
            <a:cxn ang="0">
              <a:pos x="csX1" y="csY1"/>
            </a:cxn>
            <a:cxn ang="0">
              <a:pos x="csX2" y="csY2"/>
            </a:cxn>
            <a:cxn ang="0">
              <a:pos x="csX3" y="csY3"/>
            </a:cxn>
            <a:cxn ang="0">
              <a:pos x="csX4" y="csY4"/>
            </a:cxn>
          </a:cxnLst>
          <a:rect l="l" t="t" r="r" b="b"/>
          <a:pathLst>
            <a:path w="15354300" h="1152525">
              <a:moveTo>
                <a:pt x="0" y="0"/>
              </a:moveTo>
              <a:lnTo>
                <a:pt x="15354300" y="0"/>
              </a:lnTo>
              <a:lnTo>
                <a:pt x="15354300" y="1152525"/>
              </a:lnTo>
              <a:cubicBezTo>
                <a:pt x="12795250" y="944562"/>
                <a:pt x="2587625" y="820737"/>
                <a:pt x="0" y="1152525"/>
              </a:cubicBezTo>
              <a:lnTo>
                <a:pt x="0" y="0"/>
              </a:lnTo>
              <a:close/>
            </a:path>
          </a:pathLst>
        </a:cu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295276</xdr:colOff>
      <xdr:row>1</xdr:row>
      <xdr:rowOff>19050</xdr:rowOff>
    </xdr:from>
    <xdr:to>
      <xdr:col>5</xdr:col>
      <xdr:colOff>38100</xdr:colOff>
      <xdr:row>2</xdr:row>
      <xdr:rowOff>133350</xdr:rowOff>
    </xdr:to>
    <xdr:sp macro="" textlink="">
      <xdr:nvSpPr>
        <xdr:cNvPr id="39" name="TextBox 38">
          <a:extLst>
            <a:ext uri="{FF2B5EF4-FFF2-40B4-BE49-F238E27FC236}">
              <a16:creationId xmlns:a16="http://schemas.microsoft.com/office/drawing/2014/main" id="{3061E645-C58F-5C1F-6FE4-2028740EAAB2}"/>
            </a:ext>
          </a:extLst>
        </xdr:cNvPr>
        <xdr:cNvSpPr txBox="1"/>
      </xdr:nvSpPr>
      <xdr:spPr>
        <a:xfrm>
          <a:off x="295276" y="219075"/>
          <a:ext cx="39338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Data Analysis Test</a:t>
          </a:r>
          <a:r>
            <a:rPr lang="en-GB" sz="1600" b="1" baseline="0">
              <a:solidFill>
                <a:schemeClr val="bg1"/>
              </a:solidFill>
            </a:rPr>
            <a:t> File Dashboard Example </a:t>
          </a:r>
          <a:endParaRPr lang="en-GB" sz="1600" b="1">
            <a:solidFill>
              <a:schemeClr val="bg1"/>
            </a:solidFill>
          </a:endParaRPr>
        </a:p>
      </xdr:txBody>
    </xdr:sp>
    <xdr:clientData/>
  </xdr:twoCellAnchor>
  <xdr:twoCellAnchor>
    <xdr:from>
      <xdr:col>0</xdr:col>
      <xdr:colOff>285751</xdr:colOff>
      <xdr:row>2</xdr:row>
      <xdr:rowOff>95250</xdr:rowOff>
    </xdr:from>
    <xdr:to>
      <xdr:col>5</xdr:col>
      <xdr:colOff>28575</xdr:colOff>
      <xdr:row>4</xdr:row>
      <xdr:rowOff>161925</xdr:rowOff>
    </xdr:to>
    <xdr:sp macro="" textlink="">
      <xdr:nvSpPr>
        <xdr:cNvPr id="40" name="TextBox 39">
          <a:extLst>
            <a:ext uri="{FF2B5EF4-FFF2-40B4-BE49-F238E27FC236}">
              <a16:creationId xmlns:a16="http://schemas.microsoft.com/office/drawing/2014/main" id="{5BBC3950-E8C3-4CEF-946C-0A755BD180C8}"/>
            </a:ext>
          </a:extLst>
        </xdr:cNvPr>
        <xdr:cNvSpPr txBox="1"/>
      </xdr:nvSpPr>
      <xdr:spPr>
        <a:xfrm>
          <a:off x="285751" y="495300"/>
          <a:ext cx="39338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solidFill>
                <a:schemeClr val="bg1"/>
              </a:solidFill>
            </a:rPr>
            <a:t>Created by me</a:t>
          </a:r>
          <a:r>
            <a:rPr lang="en-GB" sz="1100" b="0" baseline="0">
              <a:solidFill>
                <a:schemeClr val="bg1"/>
              </a:solidFill>
            </a:rPr>
            <a:t>, guided by https://www.youtube.com/watch?v=qdYXuPyltkA</a:t>
          </a:r>
          <a:endParaRPr lang="en-GB" sz="1100" b="0">
            <a:solidFill>
              <a:schemeClr val="bg1"/>
            </a:solidFill>
          </a:endParaRPr>
        </a:p>
      </xdr:txBody>
    </xdr:sp>
    <xdr:clientData/>
  </xdr:twoCellAnchor>
  <xdr:twoCellAnchor>
    <xdr:from>
      <xdr:col>0</xdr:col>
      <xdr:colOff>276225</xdr:colOff>
      <xdr:row>11</xdr:row>
      <xdr:rowOff>56616</xdr:rowOff>
    </xdr:from>
    <xdr:to>
      <xdr:col>10</xdr:col>
      <xdr:colOff>242608</xdr:colOff>
      <xdr:row>31</xdr:row>
      <xdr:rowOff>180311</xdr:rowOff>
    </xdr:to>
    <xdr:grpSp>
      <xdr:nvGrpSpPr>
        <xdr:cNvPr id="42" name="Group 41">
          <a:extLst>
            <a:ext uri="{FF2B5EF4-FFF2-40B4-BE49-F238E27FC236}">
              <a16:creationId xmlns:a16="http://schemas.microsoft.com/office/drawing/2014/main" id="{E8C23E82-1DE0-B198-8B9A-EE7CA488C443}"/>
            </a:ext>
          </a:extLst>
        </xdr:cNvPr>
        <xdr:cNvGrpSpPr/>
      </xdr:nvGrpSpPr>
      <xdr:grpSpPr>
        <a:xfrm>
          <a:off x="276225" y="2301795"/>
          <a:ext cx="7559169" cy="4205837"/>
          <a:chOff x="276225" y="2256891"/>
          <a:chExt cx="7586383" cy="4124195"/>
        </a:xfrm>
      </xdr:grpSpPr>
      <xdr:graphicFrame macro="">
        <xdr:nvGraphicFramePr>
          <xdr:cNvPr id="27" name="Chart 26">
            <a:extLst>
              <a:ext uri="{FF2B5EF4-FFF2-40B4-BE49-F238E27FC236}">
                <a16:creationId xmlns:a16="http://schemas.microsoft.com/office/drawing/2014/main" id="{987EBFF1-2C69-42F7-80AB-12A084E8A728}"/>
              </a:ext>
            </a:extLst>
          </xdr:cNvPr>
          <xdr:cNvGraphicFramePr>
            <a:graphicFrameLocks/>
          </xdr:cNvGraphicFramePr>
        </xdr:nvGraphicFramePr>
        <xdr:xfrm>
          <a:off x="276225" y="2256891"/>
          <a:ext cx="7586383" cy="4124195"/>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41" name="TextBox 40">
            <a:extLst>
              <a:ext uri="{FF2B5EF4-FFF2-40B4-BE49-F238E27FC236}">
                <a16:creationId xmlns:a16="http://schemas.microsoft.com/office/drawing/2014/main" id="{02B1EA63-25A2-6378-E667-7C6C9BD5CD84}"/>
              </a:ext>
            </a:extLst>
          </xdr:cNvPr>
          <xdr:cNvSpPr txBox="1"/>
        </xdr:nvSpPr>
        <xdr:spPr>
          <a:xfrm>
            <a:off x="6086475" y="6095999"/>
            <a:ext cx="1314450" cy="236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Day</a:t>
            </a:r>
            <a:r>
              <a:rPr lang="en-GB" sz="1100" baseline="0"/>
              <a:t> - Month Toggle</a:t>
            </a:r>
          </a:p>
          <a:p>
            <a:endParaRPr lang="en-GB"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Euan Garcia" refreshedDate="46287.812116203706" createdVersion="8" refreshedVersion="8" minRefreshableVersion="3" recordCount="262" xr:uid="{DF7FC041-1EA9-4175-AA9F-E22A1707A8DB}">
  <cacheSource type="worksheet">
    <worksheetSource name="Table2"/>
  </cacheSource>
  <cacheFields count="13">
    <cacheField name="Order ID" numFmtId="0">
      <sharedItems containsSemiMixedTypes="0" containsString="0" containsNumber="1" containsInteger="1" minValue="10452" maxValue="10713"/>
    </cacheField>
    <cacheField name="Date" numFmtId="170">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2"/>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Purchase Type" numFmtId="0">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Quantity" numFmtId="0">
      <sharedItems containsSemiMixedTypes="0" containsString="0" containsNumber="1" containsInteger="1" minValue="201" maxValue="755"/>
    </cacheField>
    <cacheField name="City" numFmtId="0">
      <sharedItems/>
    </cacheField>
    <cacheField name="Country/region" numFmtId="0">
      <sharedItems/>
    </cacheField>
    <cacheField name="Revenue" numFmtId="0">
      <sharedItems containsSemiMixedTypes="0" containsString="0" containsNumber="1" minValue="1002.99" maxValue="22523.16"/>
    </cacheField>
    <cacheField name="Days (Date)" numFmtId="0" databaseField="0">
      <fieldGroup base="1">
        <rangePr groupBy="days" startDate="2022-11-07T00:00:00" endDate="2022-12-30T00:00:00"/>
        <groupItems count="368">
          <s v="&lt;07/1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 name="Months (Date)" numFmtId="0" databaseField="0">
      <fieldGroup base="1">
        <rangePr groupBy="months" startDate="2022-11-07T00:00:00" endDate="2022-12-30T00:00:00"/>
        <groupItems count="14">
          <s v="&lt;07/11/2022"/>
          <s v="Jan"/>
          <s v="Feb"/>
          <s v="Mar"/>
          <s v="Apr"/>
          <s v="May"/>
          <s v="Jun"/>
          <s v="Jul"/>
          <s v="Aug"/>
          <s v="Sep"/>
          <s v="Oct"/>
          <s v="Nov"/>
          <s v="Dec"/>
          <s v="&gt;30/12/2022"/>
        </groupItems>
      </fieldGroup>
    </cacheField>
  </cacheFields>
  <extLst>
    <ext xmlns:x14="http://schemas.microsoft.com/office/spreadsheetml/2009/9/main" uri="{725AE2AE-9491-48be-B2B4-4EB974FC3084}">
      <x14:pivotCacheDefinition pivotCacheId="2018979010"/>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DF7FC041-1EA9-4175-AA9F-E22A1707A8DB}"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n v="10452"/>
    <x v="0"/>
    <x v="0"/>
    <n v="3.49"/>
    <s v="Online "/>
    <x v="0"/>
    <x v="0"/>
    <n v="574"/>
    <s v="London"/>
    <s v="#CONNECT!"/>
    <n v="2003.2600000000002"/>
  </r>
  <r>
    <n v="10453"/>
    <x v="0"/>
    <x v="1"/>
    <n v="2.95"/>
    <s v="Online "/>
    <x v="0"/>
    <x v="1"/>
    <n v="746"/>
    <s v="Madrid"/>
    <s v="Spain"/>
    <n v="2200.7000000000003"/>
  </r>
  <r>
    <n v="10454"/>
    <x v="0"/>
    <x v="2"/>
    <n v="4.99"/>
    <s v="In-store "/>
    <x v="0"/>
    <x v="2"/>
    <n v="201"/>
    <s v="Lisbon"/>
    <s v="Portugal"/>
    <n v="1002.99"/>
  </r>
  <r>
    <n v="10455"/>
    <x v="1"/>
    <x v="3"/>
    <n v="12.99"/>
    <s v="In-store "/>
    <x v="1"/>
    <x v="3"/>
    <n v="570"/>
    <s v="Berlin"/>
    <s v="Germany"/>
    <n v="7404.3"/>
  </r>
  <r>
    <n v="10456"/>
    <x v="1"/>
    <x v="4"/>
    <n v="9.9499999999999993"/>
    <s v="In-store "/>
    <x v="1"/>
    <x v="3"/>
    <n v="202"/>
    <s v="Berlin"/>
    <s v="Germany"/>
    <n v="2009.8999999999999"/>
  </r>
  <r>
    <n v="10457"/>
    <x v="1"/>
    <x v="0"/>
    <n v="3.49"/>
    <s v="In-store "/>
    <x v="1"/>
    <x v="4"/>
    <n v="574"/>
    <s v="Paris"/>
    <s v="France"/>
    <n v="2003.2600000000002"/>
  </r>
  <r>
    <n v="10457"/>
    <x v="1"/>
    <x v="0"/>
    <n v="3.49"/>
    <s v="In-store "/>
    <x v="1"/>
    <x v="4"/>
    <n v="574"/>
    <s v="Paris"/>
    <s v="France"/>
    <n v="2003.2600000000002"/>
  </r>
  <r>
    <n v="10459"/>
    <x v="1"/>
    <x v="2"/>
    <n v="4.99"/>
    <s v="In-store "/>
    <x v="1"/>
    <x v="3"/>
    <n v="201"/>
    <s v="Berlin"/>
    <s v="Germany"/>
    <n v="1002.99"/>
  </r>
  <r>
    <n v="10460"/>
    <x v="2"/>
    <x v="3"/>
    <n v="12.99"/>
    <s v="In-store "/>
    <x v="1"/>
    <x v="4"/>
    <n v="555"/>
    <s v="Paris"/>
    <s v="France"/>
    <n v="7209.45"/>
  </r>
  <r>
    <n v="10461"/>
    <x v="2"/>
    <x v="4"/>
    <n v="9.9499999999999993"/>
    <s v="In-store "/>
    <x v="1"/>
    <x v="4"/>
    <n v="202"/>
    <s v="Paris"/>
    <s v="France"/>
    <n v="2009.8999999999999"/>
  </r>
  <r>
    <n v="10462"/>
    <x v="2"/>
    <x v="0"/>
    <n v="3.49"/>
    <s v="In-store "/>
    <x v="1"/>
    <x v="4"/>
    <n v="574"/>
    <s v="Paris"/>
    <s v="France"/>
    <n v="2003.2600000000002"/>
  </r>
  <r>
    <n v="10463"/>
    <x v="2"/>
    <x v="1"/>
    <n v="2.95"/>
    <s v="In-store "/>
    <x v="1"/>
    <x v="4"/>
    <n v="678"/>
    <s v="Paris"/>
    <s v="France"/>
    <n v="2000.1000000000001"/>
  </r>
  <r>
    <n v="10464"/>
    <x v="2"/>
    <x v="2"/>
    <n v="4.99"/>
    <s v="In-store "/>
    <x v="1"/>
    <x v="4"/>
    <n v="201"/>
    <s v="Paris"/>
    <s v="France"/>
    <n v="1002.99"/>
  </r>
  <r>
    <n v="10465"/>
    <x v="3"/>
    <x v="3"/>
    <n v="12.99"/>
    <s v="In-store "/>
    <x v="1"/>
    <x v="1"/>
    <n v="555"/>
    <s v="Madrid"/>
    <s v="Spain"/>
    <n v="7209.45"/>
  </r>
  <r>
    <n v="10466"/>
    <x v="3"/>
    <x v="4"/>
    <n v="9.9499999999999993"/>
    <s v="In-store "/>
    <x v="1"/>
    <x v="1"/>
    <n v="202"/>
    <s v="Madrid"/>
    <s v="Spain"/>
    <n v="2009.8999999999999"/>
  </r>
  <r>
    <n v="10467"/>
    <x v="3"/>
    <x v="0"/>
    <n v="3.49"/>
    <s v="In-store "/>
    <x v="1"/>
    <x v="1"/>
    <n v="574"/>
    <s v="Madrid"/>
    <s v="Spain"/>
    <n v="2003.2600000000002"/>
  </r>
  <r>
    <n v="10468"/>
    <x v="3"/>
    <x v="1"/>
    <n v="2.95"/>
    <s v="In-store "/>
    <x v="1"/>
    <x v="1"/>
    <n v="678"/>
    <s v="Madrid"/>
    <s v="Spain"/>
    <n v="2000.1000000000001"/>
  </r>
  <r>
    <n v="10468"/>
    <x v="3"/>
    <x v="1"/>
    <n v="2.95"/>
    <s v="In-store "/>
    <x v="1"/>
    <x v="1"/>
    <n v="678"/>
    <s v="Madrid"/>
    <s v="Spain"/>
    <n v="2000.1000000000001"/>
  </r>
  <r>
    <n v="10470"/>
    <x v="4"/>
    <x v="3"/>
    <n v="12.99"/>
    <s v="In-store "/>
    <x v="1"/>
    <x v="1"/>
    <n v="555"/>
    <s v="Madrid"/>
    <s v="Spain"/>
    <n v="7209.45"/>
  </r>
  <r>
    <n v="10471"/>
    <x v="4"/>
    <x v="4"/>
    <n v="9.9499999999999993"/>
    <s v="In-store "/>
    <x v="1"/>
    <x v="1"/>
    <n v="202"/>
    <s v="Madrid"/>
    <s v="Spain"/>
    <n v="2009.8999999999999"/>
  </r>
  <r>
    <n v="10472"/>
    <x v="4"/>
    <x v="0"/>
    <n v="3.49"/>
    <s v="In-store "/>
    <x v="1"/>
    <x v="1"/>
    <n v="631"/>
    <s v="Madrid"/>
    <s v="Spain"/>
    <n v="2202.19"/>
  </r>
  <r>
    <n v="10473"/>
    <x v="4"/>
    <x v="1"/>
    <n v="2.95"/>
    <s v="In-store "/>
    <x v="1"/>
    <x v="1"/>
    <n v="678"/>
    <s v="Madrid"/>
    <s v="Spain"/>
    <n v="2000.1000000000001"/>
  </r>
  <r>
    <n v="10474"/>
    <x v="4"/>
    <x v="2"/>
    <n v="4.99"/>
    <s v="In-store "/>
    <x v="1"/>
    <x v="1"/>
    <n v="201"/>
    <s v="Madrid"/>
    <s v="Spain"/>
    <n v="1002.99"/>
  </r>
  <r>
    <n v="10475"/>
    <x v="5"/>
    <x v="3"/>
    <n v="12.99"/>
    <s v="In-store "/>
    <x v="1"/>
    <x v="1"/>
    <n v="524"/>
    <s v="Madrid"/>
    <s v="Spain"/>
    <n v="6806.76"/>
  </r>
  <r>
    <n v="10476"/>
    <x v="5"/>
    <x v="4"/>
    <n v="9.9499999999999993"/>
    <s v="In-store "/>
    <x v="1"/>
    <x v="1"/>
    <n v="202"/>
    <s v="Madrid"/>
    <s v="Spain"/>
    <n v="2009.8999999999999"/>
  </r>
  <r>
    <n v="10477"/>
    <x v="5"/>
    <x v="0"/>
    <n v="3.49"/>
    <s v="In-store "/>
    <x v="1"/>
    <x v="1"/>
    <n v="631"/>
    <s v="Madrid"/>
    <s v="Spain"/>
    <n v="2202.19"/>
  </r>
  <r>
    <n v="10478"/>
    <x v="5"/>
    <x v="1"/>
    <n v="2.95"/>
    <s v="In-store "/>
    <x v="1"/>
    <x v="1"/>
    <n v="678"/>
    <s v="Madrid"/>
    <s v="Spain"/>
    <n v="2000.1000000000001"/>
  </r>
  <r>
    <n v="10479"/>
    <x v="5"/>
    <x v="2"/>
    <n v="4.99"/>
    <s v="In-store "/>
    <x v="1"/>
    <x v="1"/>
    <n v="201"/>
    <s v="Madrid"/>
    <s v="Spain"/>
    <n v="1002.99"/>
  </r>
  <r>
    <n v="10480"/>
    <x v="6"/>
    <x v="3"/>
    <n v="12.99"/>
    <s v="In-store "/>
    <x v="1"/>
    <x v="1"/>
    <n v="509"/>
    <s v="Madrid"/>
    <s v="Spain"/>
    <n v="6611.91"/>
  </r>
  <r>
    <n v="10481"/>
    <x v="6"/>
    <x v="4"/>
    <n v="9.9499999999999993"/>
    <s v="In-store "/>
    <x v="1"/>
    <x v="1"/>
    <n v="202"/>
    <s v="Madrid"/>
    <s v="Spain"/>
    <n v="2009.8999999999999"/>
  </r>
  <r>
    <n v="10482"/>
    <x v="6"/>
    <x v="0"/>
    <n v="25.5"/>
    <s v="In-store "/>
    <x v="1"/>
    <x v="2"/>
    <n v="631"/>
    <s v="Lisbon"/>
    <s v="Portugal"/>
    <n v="16090.5"/>
  </r>
  <r>
    <n v="10483"/>
    <x v="6"/>
    <x v="1"/>
    <n v="33.22"/>
    <s v="In-store "/>
    <x v="1"/>
    <x v="2"/>
    <n v="678"/>
    <s v="Lisbon"/>
    <s v="Portugal"/>
    <n v="22523.16"/>
  </r>
  <r>
    <n v="10484"/>
    <x v="6"/>
    <x v="2"/>
    <n v="21.44"/>
    <s v="In-store "/>
    <x v="1"/>
    <x v="2"/>
    <n v="201"/>
    <s v="Lisbon"/>
    <s v="Portugal"/>
    <n v="4309.4400000000005"/>
  </r>
  <r>
    <n v="10485"/>
    <x v="7"/>
    <x v="3"/>
    <n v="27.99"/>
    <s v="In-store "/>
    <x v="1"/>
    <x v="2"/>
    <n v="524"/>
    <s v="Lisbon"/>
    <s v="Portugal"/>
    <n v="14666.759999999998"/>
  </r>
  <r>
    <n v="10486"/>
    <x v="7"/>
    <x v="4"/>
    <n v="29.05"/>
    <s v="In-store "/>
    <x v="1"/>
    <x v="2"/>
    <n v="202"/>
    <s v="Lisbon"/>
    <s v="Portugal"/>
    <n v="5868.1"/>
  </r>
  <r>
    <n v="10487"/>
    <x v="7"/>
    <x v="0"/>
    <n v="3.49"/>
    <s v="In-store "/>
    <x v="1"/>
    <x v="2"/>
    <n v="631"/>
    <s v="Lisbon"/>
    <s v="Portugal"/>
    <n v="2202.19"/>
  </r>
  <r>
    <n v="10488"/>
    <x v="7"/>
    <x v="1"/>
    <n v="2.95"/>
    <s v="In-store "/>
    <x v="1"/>
    <x v="2"/>
    <n v="678"/>
    <s v="Lisbon"/>
    <s v="Portugal"/>
    <n v="2000.1000000000001"/>
  </r>
  <r>
    <n v="10489"/>
    <x v="7"/>
    <x v="2"/>
    <n v="4.99"/>
    <s v="In-store "/>
    <x v="1"/>
    <x v="1"/>
    <n v="201"/>
    <s v="Madrid"/>
    <s v="Spain"/>
    <n v="1002.99"/>
  </r>
  <r>
    <n v="10490"/>
    <x v="8"/>
    <x v="3"/>
    <n v="12.99"/>
    <s v="In-store "/>
    <x v="1"/>
    <x v="1"/>
    <n v="509"/>
    <s v="Madrid"/>
    <s v="Spain"/>
    <n v="6611.91"/>
  </r>
  <r>
    <n v="10491"/>
    <x v="8"/>
    <x v="4"/>
    <n v="9.9499999999999993"/>
    <s v="In-store "/>
    <x v="1"/>
    <x v="1"/>
    <n v="202"/>
    <s v="Madrid"/>
    <s v="Spain"/>
    <n v="2009.8999999999999"/>
  </r>
  <r>
    <n v="10492"/>
    <x v="8"/>
    <x v="0"/>
    <n v="3.49"/>
    <s v="In-store "/>
    <x v="1"/>
    <x v="1"/>
    <n v="574"/>
    <s v="Madrid"/>
    <s v="Spain"/>
    <n v="2003.2600000000002"/>
  </r>
  <r>
    <n v="10493"/>
    <x v="8"/>
    <x v="1"/>
    <n v="2.95"/>
    <s v="In-store "/>
    <x v="1"/>
    <x v="1"/>
    <n v="678"/>
    <s v="Madrid"/>
    <s v="Spain"/>
    <n v="2000.1000000000001"/>
  </r>
  <r>
    <n v="10494"/>
    <x v="8"/>
    <x v="2"/>
    <n v="4.99"/>
    <s v="In-store "/>
    <x v="1"/>
    <x v="1"/>
    <n v="201"/>
    <s v="Madrid"/>
    <s v="Spain"/>
    <n v="1002.99"/>
  </r>
  <r>
    <n v="10495"/>
    <x v="9"/>
    <x v="3"/>
    <n v="12.99"/>
    <s v="In-store "/>
    <x v="1"/>
    <x v="1"/>
    <n v="509"/>
    <s v="Madrid"/>
    <s v="Spain"/>
    <n v="6611.91"/>
  </r>
  <r>
    <n v="10496"/>
    <x v="9"/>
    <x v="4"/>
    <n v="9.9499999999999993"/>
    <s v="In-store "/>
    <x v="1"/>
    <x v="1"/>
    <n v="202"/>
    <s v="Madrid"/>
    <s v="Spain"/>
    <n v="2009.8999999999999"/>
  </r>
  <r>
    <n v="10497"/>
    <x v="9"/>
    <x v="0"/>
    <n v="3.49"/>
    <s v="In-store "/>
    <x v="1"/>
    <x v="1"/>
    <n v="574"/>
    <s v="Madrid"/>
    <s v="Spain"/>
    <n v="2003.2600000000002"/>
  </r>
  <r>
    <n v="10498"/>
    <x v="9"/>
    <x v="1"/>
    <n v="2.95"/>
    <s v="Drive-thru "/>
    <x v="1"/>
    <x v="1"/>
    <n v="678"/>
    <s v="Madrid"/>
    <s v="Spain"/>
    <n v="2000.1000000000001"/>
  </r>
  <r>
    <n v="10499"/>
    <x v="9"/>
    <x v="2"/>
    <n v="4.99"/>
    <s v="Drive-thru "/>
    <x v="1"/>
    <x v="1"/>
    <n v="201"/>
    <s v="Madrid"/>
    <s v="Spain"/>
    <n v="1002.99"/>
  </r>
  <r>
    <n v="10500"/>
    <x v="10"/>
    <x v="3"/>
    <n v="12.99"/>
    <s v="Drive-thru "/>
    <x v="1"/>
    <x v="1"/>
    <n v="524"/>
    <s v="Madrid"/>
    <s v="Spain"/>
    <n v="6806.76"/>
  </r>
  <r>
    <n v="10501"/>
    <x v="10"/>
    <x v="4"/>
    <n v="9.9499999999999993"/>
    <s v="Drive-thru "/>
    <x v="1"/>
    <x v="1"/>
    <n v="202"/>
    <s v="Madrid"/>
    <s v="Spain"/>
    <n v="2009.8999999999999"/>
  </r>
  <r>
    <n v="10502"/>
    <x v="10"/>
    <x v="0"/>
    <n v="3.49"/>
    <s v="Drive-thru "/>
    <x v="1"/>
    <x v="1"/>
    <n v="631"/>
    <s v="Madrid"/>
    <s v="Spain"/>
    <n v="2202.19"/>
  </r>
  <r>
    <n v="10503"/>
    <x v="10"/>
    <x v="1"/>
    <n v="2.95"/>
    <s v="Drive-thru "/>
    <x v="1"/>
    <x v="1"/>
    <n v="678"/>
    <s v="Madrid"/>
    <s v="Spain"/>
    <n v="2000.1000000000001"/>
  </r>
  <r>
    <n v="10504"/>
    <x v="10"/>
    <x v="2"/>
    <n v="4.99"/>
    <s v="Drive-thru "/>
    <x v="1"/>
    <x v="1"/>
    <n v="201"/>
    <s v="Madrid"/>
    <s v="Spain"/>
    <n v="1002.99"/>
  </r>
  <r>
    <n v="10505"/>
    <x v="11"/>
    <x v="3"/>
    <n v="12.99"/>
    <s v="Drive-thru "/>
    <x v="1"/>
    <x v="1"/>
    <n v="539"/>
    <s v="Madrid"/>
    <s v="Spain"/>
    <n v="7001.61"/>
  </r>
  <r>
    <n v="10506"/>
    <x v="11"/>
    <x v="4"/>
    <n v="9.9499999999999993"/>
    <s v="Drive-thru "/>
    <x v="1"/>
    <x v="1"/>
    <n v="202"/>
    <s v="Madrid"/>
    <s v="Spain"/>
    <n v="2009.8999999999999"/>
  </r>
  <r>
    <n v="10507"/>
    <x v="11"/>
    <x v="0"/>
    <n v="3.49"/>
    <s v="Drive-thru "/>
    <x v="1"/>
    <x v="1"/>
    <n v="688"/>
    <s v="Madrid"/>
    <s v="Spain"/>
    <n v="2401.1200000000003"/>
  </r>
  <r>
    <n v="10508"/>
    <x v="11"/>
    <x v="1"/>
    <n v="2.95"/>
    <s v="Drive-thru "/>
    <x v="1"/>
    <x v="1"/>
    <n v="678"/>
    <s v="Madrid"/>
    <s v="Spain"/>
    <n v="2000.1000000000001"/>
  </r>
  <r>
    <n v="10509"/>
    <x v="11"/>
    <x v="2"/>
    <n v="4.99"/>
    <s v="Drive-thru "/>
    <x v="1"/>
    <x v="1"/>
    <n v="201"/>
    <s v="Madrid"/>
    <s v="Spain"/>
    <n v="1002.99"/>
  </r>
  <r>
    <n v="10510"/>
    <x v="12"/>
    <x v="3"/>
    <n v="12.99"/>
    <s v="Drive-thru "/>
    <x v="1"/>
    <x v="1"/>
    <n v="509"/>
    <s v="Madrid"/>
    <s v="Spain"/>
    <n v="6611.91"/>
  </r>
  <r>
    <n v="10511"/>
    <x v="12"/>
    <x v="4"/>
    <n v="9.9499999999999993"/>
    <s v="Drive-thru "/>
    <x v="1"/>
    <x v="2"/>
    <n v="202"/>
    <s v="Lisbon"/>
    <s v="Portugal"/>
    <n v="2009.8999999999999"/>
  </r>
  <r>
    <n v="10512"/>
    <x v="12"/>
    <x v="0"/>
    <n v="3.49"/>
    <s v="Drive-thru "/>
    <x v="1"/>
    <x v="2"/>
    <n v="688"/>
    <s v="Lisbon"/>
    <s v="Portugal"/>
    <n v="2401.1200000000003"/>
  </r>
  <r>
    <n v="10513"/>
    <x v="12"/>
    <x v="1"/>
    <n v="2.95"/>
    <s v="Drive-thru "/>
    <x v="2"/>
    <x v="2"/>
    <n v="678"/>
    <s v="Lisbon"/>
    <s v="Portugal"/>
    <n v="2000.1000000000001"/>
  </r>
  <r>
    <n v="10514"/>
    <x v="12"/>
    <x v="2"/>
    <n v="4.99"/>
    <s v="Drive-thru "/>
    <x v="2"/>
    <x v="2"/>
    <n v="201"/>
    <s v="Lisbon"/>
    <s v="Portugal"/>
    <n v="1002.99"/>
  </r>
  <r>
    <n v="10515"/>
    <x v="13"/>
    <x v="3"/>
    <n v="12.99"/>
    <s v="Drive-thru "/>
    <x v="2"/>
    <x v="2"/>
    <n v="478"/>
    <s v="Lisbon"/>
    <s v="Portugal"/>
    <n v="6209.22"/>
  </r>
  <r>
    <n v="10516"/>
    <x v="13"/>
    <x v="4"/>
    <n v="9.9499999999999993"/>
    <s v="Drive-thru "/>
    <x v="2"/>
    <x v="2"/>
    <n v="202"/>
    <s v="Lisbon"/>
    <s v="Portugal"/>
    <n v="2009.8999999999999"/>
  </r>
  <r>
    <n v="10483"/>
    <x v="6"/>
    <x v="1"/>
    <n v="2.95"/>
    <s v="In-store "/>
    <x v="1"/>
    <x v="2"/>
    <n v="678"/>
    <s v="Lisbon"/>
    <s v="Portugal"/>
    <n v="2000.1000000000001"/>
  </r>
  <r>
    <n v="10484"/>
    <x v="6"/>
    <x v="2"/>
    <n v="4.99"/>
    <s v="In-store "/>
    <x v="1"/>
    <x v="2"/>
    <n v="201"/>
    <s v="Lisbon"/>
    <s v="Portugal"/>
    <n v="1002.99"/>
  </r>
  <r>
    <n v="10485"/>
    <x v="7"/>
    <x v="3"/>
    <n v="12.99"/>
    <s v="In-store "/>
    <x v="1"/>
    <x v="2"/>
    <n v="524"/>
    <s v="Lisbon"/>
    <s v="Portugal"/>
    <n v="6806.76"/>
  </r>
  <r>
    <n v="10520"/>
    <x v="14"/>
    <x v="3"/>
    <n v="12.99"/>
    <s v="Drive-thru "/>
    <x v="2"/>
    <x v="4"/>
    <n v="493"/>
    <s v="Paris"/>
    <s v="France"/>
    <n v="6404.07"/>
  </r>
  <r>
    <n v="10521"/>
    <x v="14"/>
    <x v="4"/>
    <n v="9.9499999999999993"/>
    <s v="Drive-thru "/>
    <x v="2"/>
    <x v="4"/>
    <n v="202"/>
    <s v="Paris"/>
    <s v="France"/>
    <n v="2009.8999999999999"/>
  </r>
  <r>
    <n v="10522"/>
    <x v="14"/>
    <x v="0"/>
    <n v="3.49"/>
    <s v="Drive-thru "/>
    <x v="2"/>
    <x v="4"/>
    <n v="688"/>
    <s v="Paris"/>
    <s v="France"/>
    <n v="2401.1200000000003"/>
  </r>
  <r>
    <n v="10523"/>
    <x v="14"/>
    <x v="1"/>
    <n v="2.95"/>
    <s v="Drive-thru "/>
    <x v="2"/>
    <x v="4"/>
    <n v="746"/>
    <s v="Paris"/>
    <s v="France"/>
    <n v="2200.7000000000003"/>
  </r>
  <r>
    <n v="10524"/>
    <x v="14"/>
    <x v="2"/>
    <n v="4.99"/>
    <s v="Drive-thru "/>
    <x v="2"/>
    <x v="4"/>
    <n v="201"/>
    <s v="Paris"/>
    <s v="France"/>
    <n v="1002.99"/>
  </r>
  <r>
    <n v="10525"/>
    <x v="15"/>
    <x v="3"/>
    <n v="12.99"/>
    <s v="Drive-thru "/>
    <x v="2"/>
    <x v="4"/>
    <n v="462"/>
    <s v="Paris"/>
    <s v="France"/>
    <n v="6001.38"/>
  </r>
  <r>
    <n v="10526"/>
    <x v="15"/>
    <x v="4"/>
    <n v="9.9499999999999993"/>
    <s v="Drive-thru "/>
    <x v="2"/>
    <x v="4"/>
    <n v="202"/>
    <s v="Paris"/>
    <s v="France"/>
    <n v="2009.8999999999999"/>
  </r>
  <r>
    <n v="10527"/>
    <x v="15"/>
    <x v="0"/>
    <n v="3.49"/>
    <s v="Drive-thru "/>
    <x v="2"/>
    <x v="4"/>
    <n v="688"/>
    <s v="Paris"/>
    <s v="France"/>
    <n v="2401.1200000000003"/>
  </r>
  <r>
    <n v="10528"/>
    <x v="15"/>
    <x v="1"/>
    <n v="2.95"/>
    <s v="Drive-thru "/>
    <x v="2"/>
    <x v="4"/>
    <n v="746"/>
    <s v="Paris"/>
    <s v="France"/>
    <n v="2200.7000000000003"/>
  </r>
  <r>
    <n v="10529"/>
    <x v="15"/>
    <x v="2"/>
    <n v="4.99"/>
    <s v="Drive-thru "/>
    <x v="2"/>
    <x v="4"/>
    <n v="201"/>
    <s v="Paris"/>
    <s v="France"/>
    <n v="1002.99"/>
  </r>
  <r>
    <n v="10530"/>
    <x v="16"/>
    <x v="3"/>
    <n v="12.99"/>
    <s v="Drive-thru "/>
    <x v="2"/>
    <x v="4"/>
    <n v="478"/>
    <s v="Paris"/>
    <s v="France"/>
    <n v="6209.22"/>
  </r>
  <r>
    <n v="10531"/>
    <x v="16"/>
    <x v="4"/>
    <n v="9.9499999999999993"/>
    <s v="Drive-thru "/>
    <x v="2"/>
    <x v="4"/>
    <n v="202"/>
    <s v="Paris"/>
    <s v="France"/>
    <n v="2009.8999999999999"/>
  </r>
  <r>
    <n v="10532"/>
    <x v="16"/>
    <x v="0"/>
    <n v="3.49"/>
    <s v="Drive-thru "/>
    <x v="2"/>
    <x v="2"/>
    <n v="688"/>
    <s v="Lisbon"/>
    <s v="Portugal"/>
    <n v="2401.1200000000003"/>
  </r>
  <r>
    <n v="10533"/>
    <x v="16"/>
    <x v="1"/>
    <n v="2.95"/>
    <s v="Drive-thru "/>
    <x v="2"/>
    <x v="2"/>
    <n v="746"/>
    <s v="Lisbon"/>
    <s v="Portugal"/>
    <n v="2200.7000000000003"/>
  </r>
  <r>
    <n v="10534"/>
    <x v="16"/>
    <x v="2"/>
    <n v="4.99"/>
    <s v="Drive-thru "/>
    <x v="2"/>
    <x v="1"/>
    <n v="201"/>
    <s v="Madrid"/>
    <s v="Spain"/>
    <n v="1002.99"/>
  </r>
  <r>
    <n v="10535"/>
    <x v="17"/>
    <x v="3"/>
    <n v="12.99"/>
    <s v="Drive-thru "/>
    <x v="1"/>
    <x v="1"/>
    <n v="478"/>
    <s v="Madrid"/>
    <s v="Spain"/>
    <n v="6209.22"/>
  </r>
  <r>
    <n v="10536"/>
    <x v="17"/>
    <x v="4"/>
    <n v="9.9499999999999993"/>
    <s v="Drive-thru "/>
    <x v="1"/>
    <x v="1"/>
    <n v="202"/>
    <s v="Madrid"/>
    <s v="Spain"/>
    <n v="2009.8999999999999"/>
  </r>
  <r>
    <n v="10537"/>
    <x v="17"/>
    <x v="0"/>
    <n v="3.49"/>
    <s v="Drive-thru "/>
    <x v="1"/>
    <x v="1"/>
    <n v="631"/>
    <s v="Madrid"/>
    <s v="Spain"/>
    <n v="2202.19"/>
  </r>
  <r>
    <n v="10538"/>
    <x v="17"/>
    <x v="1"/>
    <n v="2.95"/>
    <s v="Drive-thru "/>
    <x v="1"/>
    <x v="1"/>
    <n v="746"/>
    <s v="Madrid"/>
    <s v="Spain"/>
    <n v="2200.7000000000003"/>
  </r>
  <r>
    <n v="10539"/>
    <x v="17"/>
    <x v="2"/>
    <n v="4.99"/>
    <s v="Drive-thru "/>
    <x v="1"/>
    <x v="1"/>
    <n v="201"/>
    <s v="Madrid"/>
    <s v="Spain"/>
    <n v="1002.99"/>
  </r>
  <r>
    <n v="10540"/>
    <x v="18"/>
    <x v="3"/>
    <n v="12.99"/>
    <s v="Drive-thru "/>
    <x v="1"/>
    <x v="1"/>
    <n v="462"/>
    <s v="Madrid"/>
    <s v="Spain"/>
    <n v="6001.38"/>
  </r>
  <r>
    <n v="10541"/>
    <x v="18"/>
    <x v="4"/>
    <n v="9.9499999999999993"/>
    <s v="Drive-thru "/>
    <x v="1"/>
    <x v="0"/>
    <n v="202"/>
    <s v="London"/>
    <s v="#CONNECT!"/>
    <n v="2009.8999999999999"/>
  </r>
  <r>
    <n v="10542"/>
    <x v="18"/>
    <x v="0"/>
    <n v="3.49"/>
    <s v="Drive-thru "/>
    <x v="1"/>
    <x v="0"/>
    <n v="631"/>
    <s v="London"/>
    <s v="#CONNECT!"/>
    <n v="2202.19"/>
  </r>
  <r>
    <n v="10543"/>
    <x v="18"/>
    <x v="1"/>
    <n v="2.95"/>
    <s v="Drive-thru "/>
    <x v="1"/>
    <x v="0"/>
    <n v="746"/>
    <s v="London"/>
    <s v="#CONNECT!"/>
    <n v="2200.7000000000003"/>
  </r>
  <r>
    <n v="10544"/>
    <x v="18"/>
    <x v="2"/>
    <n v="4.99"/>
    <s v="Drive-thru "/>
    <x v="1"/>
    <x v="0"/>
    <n v="201"/>
    <s v="London"/>
    <s v="#CONNECT!"/>
    <n v="1002.99"/>
  </r>
  <r>
    <n v="10545"/>
    <x v="19"/>
    <x v="3"/>
    <n v="12.99"/>
    <s v="Drive-thru "/>
    <x v="1"/>
    <x v="0"/>
    <n v="447"/>
    <s v="London"/>
    <s v="#CONNECT!"/>
    <n v="5806.53"/>
  </r>
  <r>
    <n v="10546"/>
    <x v="19"/>
    <x v="4"/>
    <n v="9.9499999999999993"/>
    <s v="Drive-thru "/>
    <x v="1"/>
    <x v="0"/>
    <n v="202"/>
    <s v="London"/>
    <s v="#CONNECT!"/>
    <n v="2009.8999999999999"/>
  </r>
  <r>
    <n v="10547"/>
    <x v="19"/>
    <x v="0"/>
    <n v="3.49"/>
    <s v="Drive-thru "/>
    <x v="1"/>
    <x v="0"/>
    <n v="631"/>
    <s v="London"/>
    <s v="#CONNECT!"/>
    <n v="2202.19"/>
  </r>
  <r>
    <n v="10548"/>
    <x v="19"/>
    <x v="1"/>
    <n v="2.95"/>
    <s v="Drive-thru "/>
    <x v="1"/>
    <x v="0"/>
    <n v="746"/>
    <s v="London"/>
    <s v="#CONNECT!"/>
    <n v="2200.7000000000003"/>
  </r>
  <r>
    <n v="10549"/>
    <x v="19"/>
    <x v="2"/>
    <n v="4.99"/>
    <s v="Drive-thru "/>
    <x v="1"/>
    <x v="0"/>
    <n v="201"/>
    <s v="London"/>
    <s v="#CONNECT!"/>
    <n v="1002.99"/>
  </r>
  <r>
    <n v="10550"/>
    <x v="20"/>
    <x v="3"/>
    <n v="12.99"/>
    <s v="Drive-thru "/>
    <x v="1"/>
    <x v="0"/>
    <n v="462"/>
    <s v="London"/>
    <s v="#CONNECT!"/>
    <n v="6001.38"/>
  </r>
  <r>
    <n v="10551"/>
    <x v="20"/>
    <x v="4"/>
    <n v="9.9499999999999993"/>
    <s v="Drive-thru "/>
    <x v="1"/>
    <x v="0"/>
    <n v="202"/>
    <s v="London"/>
    <s v="#CONNECT!"/>
    <n v="2009.8999999999999"/>
  </r>
  <r>
    <n v="10552"/>
    <x v="20"/>
    <x v="0"/>
    <n v="3.49"/>
    <s v="Online "/>
    <x v="1"/>
    <x v="0"/>
    <n v="631"/>
    <s v="London"/>
    <s v="#CONNECT!"/>
    <n v="2202.19"/>
  </r>
  <r>
    <n v="10553"/>
    <x v="20"/>
    <x v="1"/>
    <n v="2.95"/>
    <s v="Online "/>
    <x v="1"/>
    <x v="0"/>
    <n v="746"/>
    <s v="London"/>
    <s v="#CONNECT!"/>
    <n v="2200.7000000000003"/>
  </r>
  <r>
    <n v="10554"/>
    <x v="20"/>
    <x v="2"/>
    <n v="4.99"/>
    <s v="Online "/>
    <x v="1"/>
    <x v="0"/>
    <n v="201"/>
    <s v="London"/>
    <s v="#CONNECT!"/>
    <n v="1002.99"/>
  </r>
  <r>
    <n v="10555"/>
    <x v="21"/>
    <x v="3"/>
    <n v="12.99"/>
    <s v="Online "/>
    <x v="1"/>
    <x v="0"/>
    <n v="478"/>
    <s v="London"/>
    <s v="#CONNECT!"/>
    <n v="6209.22"/>
  </r>
  <r>
    <n v="10556"/>
    <x v="21"/>
    <x v="4"/>
    <n v="9.9499999999999993"/>
    <s v="Online "/>
    <x v="1"/>
    <x v="0"/>
    <n v="202"/>
    <s v="London"/>
    <s v="#CONNECT!"/>
    <n v="2009.8999999999999"/>
  </r>
  <r>
    <n v="10557"/>
    <x v="21"/>
    <x v="0"/>
    <n v="3.49"/>
    <s v="Online "/>
    <x v="1"/>
    <x v="0"/>
    <n v="631"/>
    <s v="London"/>
    <s v="#CONNECT!"/>
    <n v="2202.19"/>
  </r>
  <r>
    <n v="10558"/>
    <x v="21"/>
    <x v="1"/>
    <n v="2.95"/>
    <s v="Online "/>
    <x v="1"/>
    <x v="0"/>
    <n v="678"/>
    <s v="London"/>
    <s v="#CONNECT!"/>
    <n v="2000.1000000000001"/>
  </r>
  <r>
    <n v="10559"/>
    <x v="21"/>
    <x v="2"/>
    <n v="4.99"/>
    <s v="Online "/>
    <x v="1"/>
    <x v="0"/>
    <n v="201"/>
    <s v="London"/>
    <s v="#CONNECT!"/>
    <n v="1002.99"/>
  </r>
  <r>
    <n v="10560"/>
    <x v="22"/>
    <x v="3"/>
    <n v="12.99"/>
    <s v="Online "/>
    <x v="1"/>
    <x v="0"/>
    <n v="478"/>
    <s v="London"/>
    <s v="#CONNECT!"/>
    <n v="6209.22"/>
  </r>
  <r>
    <n v="10561"/>
    <x v="22"/>
    <x v="4"/>
    <n v="9.9499999999999993"/>
    <s v="Online "/>
    <x v="1"/>
    <x v="0"/>
    <n v="202"/>
    <s v="London"/>
    <s v="#CONNECT!"/>
    <n v="2009.8999999999999"/>
  </r>
  <r>
    <n v="10562"/>
    <x v="22"/>
    <x v="0"/>
    <n v="3.49"/>
    <s v="Online "/>
    <x v="1"/>
    <x v="0"/>
    <n v="631"/>
    <s v="London"/>
    <s v="#CONNECT!"/>
    <n v="2202.19"/>
  </r>
  <r>
    <n v="10563"/>
    <x v="22"/>
    <x v="1"/>
    <n v="2.95"/>
    <s v="Online "/>
    <x v="1"/>
    <x v="0"/>
    <n v="678"/>
    <s v="London"/>
    <s v="#CONNECT!"/>
    <n v="2000.1000000000001"/>
  </r>
  <r>
    <n v="10564"/>
    <x v="22"/>
    <x v="2"/>
    <n v="4.99"/>
    <s v="Online "/>
    <x v="1"/>
    <x v="0"/>
    <n v="201"/>
    <s v="London"/>
    <s v="#CONNECT!"/>
    <n v="1002.99"/>
  </r>
  <r>
    <n v="10565"/>
    <x v="23"/>
    <x v="3"/>
    <n v="12.99"/>
    <s v="Online "/>
    <x v="1"/>
    <x v="0"/>
    <n v="493"/>
    <s v="London"/>
    <s v="#CONNECT!"/>
    <n v="6404.07"/>
  </r>
  <r>
    <n v="10566"/>
    <x v="23"/>
    <x v="4"/>
    <n v="9.9499999999999993"/>
    <s v="Online "/>
    <x v="1"/>
    <x v="0"/>
    <n v="202"/>
    <s v="London"/>
    <s v="#CONNECT!"/>
    <n v="2009.8999999999999"/>
  </r>
  <r>
    <n v="10567"/>
    <x v="23"/>
    <x v="0"/>
    <n v="3.49"/>
    <s v="Online "/>
    <x v="1"/>
    <x v="0"/>
    <n v="631"/>
    <s v="London"/>
    <s v="#CONNECT!"/>
    <n v="2202.19"/>
  </r>
  <r>
    <n v="10568"/>
    <x v="23"/>
    <x v="1"/>
    <n v="2.95"/>
    <s v="Online "/>
    <x v="1"/>
    <x v="0"/>
    <n v="678"/>
    <s v="London"/>
    <s v="#CONNECT!"/>
    <n v="2000.1000000000001"/>
  </r>
  <r>
    <n v="10569"/>
    <x v="23"/>
    <x v="2"/>
    <n v="4.99"/>
    <s v="Online "/>
    <x v="1"/>
    <x v="0"/>
    <n v="201"/>
    <s v="London"/>
    <s v="#CONNECT!"/>
    <n v="1002.99"/>
  </r>
  <r>
    <n v="10570"/>
    <x v="24"/>
    <x v="3"/>
    <n v="12.99"/>
    <s v="Online "/>
    <x v="1"/>
    <x v="0"/>
    <n v="493"/>
    <s v="London"/>
    <s v="#CONNECT!"/>
    <n v="6404.07"/>
  </r>
  <r>
    <n v="10571"/>
    <x v="24"/>
    <x v="4"/>
    <n v="9.9499999999999993"/>
    <s v="Online "/>
    <x v="1"/>
    <x v="0"/>
    <n v="202"/>
    <s v="London"/>
    <s v="#CONNECT!"/>
    <n v="2009.8999999999999"/>
  </r>
  <r>
    <n v="10572"/>
    <x v="24"/>
    <x v="0"/>
    <n v="3.49"/>
    <s v="Online "/>
    <x v="1"/>
    <x v="4"/>
    <n v="574"/>
    <s v="Paris"/>
    <s v="France"/>
    <n v="2003.2600000000002"/>
  </r>
  <r>
    <n v="10573"/>
    <x v="24"/>
    <x v="1"/>
    <n v="2.95"/>
    <s v="Online "/>
    <x v="1"/>
    <x v="4"/>
    <n v="678"/>
    <s v="Paris"/>
    <s v="France"/>
    <n v="2000.1000000000001"/>
  </r>
  <r>
    <n v="10574"/>
    <x v="24"/>
    <x v="2"/>
    <n v="4.99"/>
    <s v="Online "/>
    <x v="1"/>
    <x v="4"/>
    <n v="201"/>
    <s v="Paris"/>
    <s v="France"/>
    <n v="1002.99"/>
  </r>
  <r>
    <n v="10575"/>
    <x v="25"/>
    <x v="3"/>
    <n v="12.99"/>
    <s v="Online "/>
    <x v="1"/>
    <x v="4"/>
    <n v="524"/>
    <s v="Paris"/>
    <s v="France"/>
    <n v="6806.76"/>
  </r>
  <r>
    <n v="10576"/>
    <x v="25"/>
    <x v="4"/>
    <n v="9.9499999999999993"/>
    <s v="Online "/>
    <x v="1"/>
    <x v="4"/>
    <n v="202"/>
    <s v="Paris"/>
    <s v="France"/>
    <n v="2009.8999999999999"/>
  </r>
  <r>
    <n v="10577"/>
    <x v="25"/>
    <x v="0"/>
    <n v="3.49"/>
    <s v="Online "/>
    <x v="1"/>
    <x v="4"/>
    <n v="631"/>
    <s v="Paris"/>
    <s v="France"/>
    <n v="2202.19"/>
  </r>
  <r>
    <n v="10578"/>
    <x v="25"/>
    <x v="1"/>
    <n v="2.95"/>
    <s v="Online "/>
    <x v="1"/>
    <x v="4"/>
    <n v="678"/>
    <s v="Paris"/>
    <s v="France"/>
    <n v="2000.1000000000001"/>
  </r>
  <r>
    <n v="10579"/>
    <x v="25"/>
    <x v="2"/>
    <n v="4.99"/>
    <s v="Online "/>
    <x v="1"/>
    <x v="4"/>
    <n v="201"/>
    <s v="Paris"/>
    <s v="France"/>
    <n v="1002.99"/>
  </r>
  <r>
    <n v="10580"/>
    <x v="26"/>
    <x v="3"/>
    <n v="12.99"/>
    <s v="Online "/>
    <x v="1"/>
    <x v="4"/>
    <n v="524"/>
    <s v="Paris"/>
    <s v="France"/>
    <n v="6806.76"/>
  </r>
  <r>
    <n v="10581"/>
    <x v="26"/>
    <x v="4"/>
    <n v="9.9499999999999993"/>
    <s v="Online "/>
    <x v="1"/>
    <x v="4"/>
    <n v="202"/>
    <s v="Paris"/>
    <s v="France"/>
    <n v="2009.8999999999999"/>
  </r>
  <r>
    <n v="10582"/>
    <x v="26"/>
    <x v="0"/>
    <n v="3.49"/>
    <s v="Online "/>
    <x v="1"/>
    <x v="0"/>
    <n v="631"/>
    <s v="London"/>
    <s v="#CONNECT!"/>
    <n v="2202.19"/>
  </r>
  <r>
    <n v="10583"/>
    <x v="26"/>
    <x v="1"/>
    <n v="2.95"/>
    <s v="Online "/>
    <x v="1"/>
    <x v="0"/>
    <n v="678"/>
    <s v="London"/>
    <s v="#CONNECT!"/>
    <n v="2000.1000000000001"/>
  </r>
  <r>
    <n v="10584"/>
    <x v="26"/>
    <x v="2"/>
    <n v="4.99"/>
    <s v="Online "/>
    <x v="1"/>
    <x v="0"/>
    <n v="201"/>
    <s v="London"/>
    <s v="#CONNECT!"/>
    <n v="1002.99"/>
  </r>
  <r>
    <n v="10585"/>
    <x v="27"/>
    <x v="3"/>
    <n v="12.99"/>
    <s v="Online "/>
    <x v="1"/>
    <x v="0"/>
    <n v="539"/>
    <s v="London"/>
    <s v="#CONNECT!"/>
    <n v="7001.61"/>
  </r>
  <r>
    <n v="10586"/>
    <x v="27"/>
    <x v="4"/>
    <n v="9.9499999999999993"/>
    <s v="Online "/>
    <x v="1"/>
    <x v="0"/>
    <n v="202"/>
    <s v="London"/>
    <s v="#CONNECT!"/>
    <n v="2009.8999999999999"/>
  </r>
  <r>
    <n v="10537"/>
    <x v="17"/>
    <x v="0"/>
    <n v="3.49"/>
    <s v="Drive-thru "/>
    <x v="1"/>
    <x v="1"/>
    <n v="631"/>
    <s v="Madrid"/>
    <s v="Spain"/>
    <n v="2202.19"/>
  </r>
  <r>
    <n v="10538"/>
    <x v="17"/>
    <x v="1"/>
    <n v="2.95"/>
    <s v="Drive-thru "/>
    <x v="1"/>
    <x v="1"/>
    <n v="746"/>
    <s v="Madrid"/>
    <s v="Spain"/>
    <n v="2200.7000000000003"/>
  </r>
  <r>
    <n v="10539"/>
    <x v="17"/>
    <x v="2"/>
    <n v="4.99"/>
    <s v="Drive-thru "/>
    <x v="1"/>
    <x v="1"/>
    <n v="201"/>
    <s v="Madrid"/>
    <s v="Spain"/>
    <n v="1002.99"/>
  </r>
  <r>
    <n v="10590"/>
    <x v="28"/>
    <x v="3"/>
    <n v="12.99"/>
    <s v="Online "/>
    <x v="1"/>
    <x v="0"/>
    <n v="555"/>
    <s v="London"/>
    <s v="#CONNECT!"/>
    <n v="7209.45"/>
  </r>
  <r>
    <n v="10591"/>
    <x v="28"/>
    <x v="4"/>
    <n v="9.9499999999999993"/>
    <s v="Online "/>
    <x v="1"/>
    <x v="0"/>
    <n v="202"/>
    <s v="London"/>
    <s v="#CONNECT!"/>
    <n v="2009.8999999999999"/>
  </r>
  <r>
    <n v="10592"/>
    <x v="28"/>
    <x v="0"/>
    <n v="3.49"/>
    <s v="Online "/>
    <x v="1"/>
    <x v="0"/>
    <n v="574"/>
    <s v="London"/>
    <s v="#CONNECT!"/>
    <n v="2003.2600000000002"/>
  </r>
  <r>
    <n v="10593"/>
    <x v="28"/>
    <x v="1"/>
    <n v="2.95"/>
    <s v="Online "/>
    <x v="1"/>
    <x v="0"/>
    <n v="678"/>
    <s v="London"/>
    <s v="#CONNECT!"/>
    <n v="2000.1000000000001"/>
  </r>
  <r>
    <n v="10594"/>
    <x v="28"/>
    <x v="2"/>
    <n v="4.99"/>
    <s v="Online "/>
    <x v="1"/>
    <x v="0"/>
    <n v="201"/>
    <s v="London"/>
    <s v="#CONNECT!"/>
    <n v="1002.99"/>
  </r>
  <r>
    <n v="10595"/>
    <x v="29"/>
    <x v="3"/>
    <n v="12.99"/>
    <s v="Online "/>
    <x v="1"/>
    <x v="0"/>
    <n v="539"/>
    <s v="London"/>
    <s v="#CONNECT!"/>
    <n v="7001.61"/>
  </r>
  <r>
    <n v="10596"/>
    <x v="29"/>
    <x v="4"/>
    <n v="9.9499999999999993"/>
    <s v="Online "/>
    <x v="1"/>
    <x v="0"/>
    <n v="202"/>
    <s v="London"/>
    <s v="#CONNECT!"/>
    <n v="2009.8999999999999"/>
  </r>
  <r>
    <n v="10597"/>
    <x v="29"/>
    <x v="0"/>
    <n v="3.49"/>
    <s v="Online "/>
    <x v="1"/>
    <x v="0"/>
    <n v="574"/>
    <s v="London"/>
    <s v="#CONNECT!"/>
    <n v="2003.2600000000002"/>
  </r>
  <r>
    <n v="10598"/>
    <x v="29"/>
    <x v="1"/>
    <n v="2.95"/>
    <s v="Online "/>
    <x v="1"/>
    <x v="0"/>
    <n v="678"/>
    <s v="London"/>
    <s v="#CONNECT!"/>
    <n v="2000.1000000000001"/>
  </r>
  <r>
    <n v="10599"/>
    <x v="29"/>
    <x v="2"/>
    <n v="4.99"/>
    <s v="Online "/>
    <x v="1"/>
    <x v="0"/>
    <n v="201"/>
    <s v="London"/>
    <s v="#CONNECT!"/>
    <n v="1002.99"/>
  </r>
  <r>
    <n v="10600"/>
    <x v="30"/>
    <x v="3"/>
    <n v="12.99"/>
    <s v="Online "/>
    <x v="1"/>
    <x v="0"/>
    <n v="524"/>
    <s v="London"/>
    <s v="#CONNECT!"/>
    <n v="6806.76"/>
  </r>
  <r>
    <n v="10601"/>
    <x v="30"/>
    <x v="4"/>
    <n v="9.9499999999999993"/>
    <s v="Online "/>
    <x v="1"/>
    <x v="0"/>
    <n v="202"/>
    <s v="London"/>
    <s v="#CONNECT!"/>
    <n v="2009.8999999999999"/>
  </r>
  <r>
    <n v="10602"/>
    <x v="30"/>
    <x v="0"/>
    <n v="3.49"/>
    <s v="Online "/>
    <x v="2"/>
    <x v="0"/>
    <n v="631"/>
    <s v="London"/>
    <s v="#CONNECT!"/>
    <n v="2202.19"/>
  </r>
  <r>
    <n v="10603"/>
    <x v="30"/>
    <x v="1"/>
    <n v="2.95"/>
    <s v="Online "/>
    <x v="2"/>
    <x v="0"/>
    <n v="678"/>
    <s v="London"/>
    <s v="#CONNECT!"/>
    <n v="2000.1000000000001"/>
  </r>
  <r>
    <n v="10604"/>
    <x v="30"/>
    <x v="2"/>
    <n v="4.99"/>
    <s v="Online "/>
    <x v="2"/>
    <x v="0"/>
    <n v="201"/>
    <s v="London"/>
    <s v="#CONNECT!"/>
    <n v="1002.99"/>
  </r>
  <r>
    <n v="10605"/>
    <x v="31"/>
    <x v="3"/>
    <n v="12.99"/>
    <s v="Online "/>
    <x v="2"/>
    <x v="0"/>
    <n v="539"/>
    <s v="London"/>
    <s v="#CONNECT!"/>
    <n v="7001.61"/>
  </r>
  <r>
    <n v="10606"/>
    <x v="31"/>
    <x v="4"/>
    <n v="9.9499999999999993"/>
    <s v="Online "/>
    <x v="2"/>
    <x v="0"/>
    <n v="202"/>
    <s v="London"/>
    <s v="#CONNECT!"/>
    <n v="2009.8999999999999"/>
  </r>
  <r>
    <n v="10607"/>
    <x v="31"/>
    <x v="0"/>
    <n v="3.49"/>
    <s v="Online "/>
    <x v="2"/>
    <x v="0"/>
    <n v="631"/>
    <s v="London"/>
    <s v="#CONNECT!"/>
    <n v="2202.19"/>
  </r>
  <r>
    <n v="10608"/>
    <x v="31"/>
    <x v="1"/>
    <n v="2.95"/>
    <s v="Online "/>
    <x v="0"/>
    <x v="0"/>
    <n v="678"/>
    <s v="London"/>
    <s v="#CONNECT!"/>
    <n v="2000.1000000000001"/>
  </r>
  <r>
    <n v="10609"/>
    <x v="31"/>
    <x v="2"/>
    <n v="4.99"/>
    <s v="Online "/>
    <x v="0"/>
    <x v="0"/>
    <n v="201"/>
    <s v="London"/>
    <s v="#CONNECT!"/>
    <n v="1002.99"/>
  </r>
  <r>
    <n v="10610"/>
    <x v="32"/>
    <x v="3"/>
    <n v="12.99"/>
    <s v="Online "/>
    <x v="0"/>
    <x v="0"/>
    <n v="570"/>
    <s v="London"/>
    <s v="#CONNECT!"/>
    <n v="7404.3"/>
  </r>
  <r>
    <n v="10611"/>
    <x v="32"/>
    <x v="4"/>
    <n v="9.9499999999999993"/>
    <s v="Online "/>
    <x v="0"/>
    <x v="0"/>
    <n v="202"/>
    <s v="London"/>
    <s v="#CONNECT!"/>
    <n v="2009.8999999999999"/>
  </r>
  <r>
    <n v="10612"/>
    <x v="32"/>
    <x v="0"/>
    <n v="3.49"/>
    <s v="Online "/>
    <x v="0"/>
    <x v="0"/>
    <n v="631"/>
    <s v="London"/>
    <s v="#CONNECT!"/>
    <n v="2202.19"/>
  </r>
  <r>
    <n v="10613"/>
    <x v="32"/>
    <x v="1"/>
    <n v="2.95"/>
    <s v="Online "/>
    <x v="0"/>
    <x v="0"/>
    <n v="678"/>
    <s v="London"/>
    <s v="#CONNECT!"/>
    <n v="2000.1000000000001"/>
  </r>
  <r>
    <n v="10614"/>
    <x v="32"/>
    <x v="2"/>
    <n v="4.99"/>
    <s v="Online "/>
    <x v="0"/>
    <x v="0"/>
    <n v="201"/>
    <s v="London"/>
    <s v="#CONNECT!"/>
    <n v="1002.99"/>
  </r>
  <r>
    <n v="10615"/>
    <x v="33"/>
    <x v="3"/>
    <n v="12.99"/>
    <s v="Online "/>
    <x v="0"/>
    <x v="0"/>
    <n v="570"/>
    <s v="London"/>
    <s v="#CONNECT!"/>
    <n v="7404.3"/>
  </r>
  <r>
    <n v="10616"/>
    <x v="33"/>
    <x v="4"/>
    <n v="9.9499999999999993"/>
    <s v="Online "/>
    <x v="0"/>
    <x v="0"/>
    <n v="202"/>
    <s v="London"/>
    <s v="#CONNECT!"/>
    <n v="2009.8999999999999"/>
  </r>
  <r>
    <n v="10617"/>
    <x v="33"/>
    <x v="0"/>
    <n v="3.49"/>
    <s v="Online "/>
    <x v="0"/>
    <x v="0"/>
    <n v="631"/>
    <s v="London"/>
    <s v="#CONNECT!"/>
    <n v="2202.19"/>
  </r>
  <r>
    <n v="10618"/>
    <x v="33"/>
    <x v="1"/>
    <n v="2.95"/>
    <s v="Online "/>
    <x v="0"/>
    <x v="0"/>
    <n v="678"/>
    <s v="London"/>
    <s v="#CONNECT!"/>
    <n v="2000.1000000000001"/>
  </r>
  <r>
    <n v="10619"/>
    <x v="33"/>
    <x v="2"/>
    <n v="4.99"/>
    <s v="Online "/>
    <x v="0"/>
    <x v="0"/>
    <n v="201"/>
    <s v="London"/>
    <s v="#CONNECT!"/>
    <n v="1002.99"/>
  </r>
  <r>
    <n v="10620"/>
    <x v="34"/>
    <x v="3"/>
    <n v="12.99"/>
    <s v="Online "/>
    <x v="0"/>
    <x v="0"/>
    <n v="586"/>
    <s v="London"/>
    <s v="#CONNECT!"/>
    <n v="7612.14"/>
  </r>
  <r>
    <n v="10621"/>
    <x v="34"/>
    <x v="4"/>
    <n v="9.9499999999999993"/>
    <s v="Online "/>
    <x v="0"/>
    <x v="0"/>
    <n v="202"/>
    <s v="London"/>
    <s v="#CONNECT!"/>
    <n v="2009.8999999999999"/>
  </r>
  <r>
    <n v="10622"/>
    <x v="34"/>
    <x v="0"/>
    <n v="3.49"/>
    <s v="Online "/>
    <x v="0"/>
    <x v="0"/>
    <n v="631"/>
    <s v="London"/>
    <s v="#CONNECT!"/>
    <n v="2202.19"/>
  </r>
  <r>
    <n v="10623"/>
    <x v="34"/>
    <x v="1"/>
    <n v="2.95"/>
    <s v="Online "/>
    <x v="0"/>
    <x v="0"/>
    <n v="746"/>
    <s v="London"/>
    <s v="#CONNECT!"/>
    <n v="2200.7000000000003"/>
  </r>
  <r>
    <n v="10624"/>
    <x v="34"/>
    <x v="2"/>
    <n v="4.99"/>
    <s v="Online "/>
    <x v="0"/>
    <x v="0"/>
    <n v="201"/>
    <s v="London"/>
    <s v="#CONNECT!"/>
    <n v="1002.99"/>
  </r>
  <r>
    <n v="10625"/>
    <x v="35"/>
    <x v="3"/>
    <n v="12.99"/>
    <s v="Online "/>
    <x v="0"/>
    <x v="0"/>
    <n v="570"/>
    <s v="London"/>
    <s v="#CONNECT!"/>
    <n v="7404.3"/>
  </r>
  <r>
    <n v="10626"/>
    <x v="35"/>
    <x v="4"/>
    <n v="9.9499999999999993"/>
    <s v="Online "/>
    <x v="0"/>
    <x v="0"/>
    <n v="202"/>
    <s v="London"/>
    <s v="#CONNECT!"/>
    <n v="2009.8999999999999"/>
  </r>
  <r>
    <n v="10627"/>
    <x v="35"/>
    <x v="0"/>
    <n v="3.49"/>
    <s v="Online "/>
    <x v="0"/>
    <x v="0"/>
    <n v="631"/>
    <s v="London"/>
    <s v="#CONNECT!"/>
    <n v="2202.19"/>
  </r>
  <r>
    <n v="10628"/>
    <x v="35"/>
    <x v="1"/>
    <n v="2.95"/>
    <s v="Online "/>
    <x v="0"/>
    <x v="2"/>
    <n v="678"/>
    <s v="Lisbon"/>
    <s v="Portugal"/>
    <n v="2000.1000000000001"/>
  </r>
  <r>
    <n v="10629"/>
    <x v="35"/>
    <x v="2"/>
    <n v="4.99"/>
    <s v="Online "/>
    <x v="0"/>
    <x v="2"/>
    <n v="201"/>
    <s v="Lisbon"/>
    <s v="Portugal"/>
    <n v="1002.99"/>
  </r>
  <r>
    <n v="10630"/>
    <x v="36"/>
    <x v="3"/>
    <n v="12.99"/>
    <s v="Online "/>
    <x v="2"/>
    <x v="2"/>
    <n v="570"/>
    <s v="Lisbon"/>
    <s v="Portugal"/>
    <n v="7404.3"/>
  </r>
  <r>
    <n v="10631"/>
    <x v="36"/>
    <x v="4"/>
    <n v="9.9499999999999993"/>
    <s v="Online "/>
    <x v="0"/>
    <x v="2"/>
    <n v="202"/>
    <s v="Lisbon"/>
    <s v="Portugal"/>
    <n v="2009.8999999999999"/>
  </r>
  <r>
    <n v="10632"/>
    <x v="36"/>
    <x v="0"/>
    <n v="3.49"/>
    <s v="Online "/>
    <x v="0"/>
    <x v="2"/>
    <n v="631"/>
    <s v="Lisbon"/>
    <s v="Portugal"/>
    <n v="2202.19"/>
  </r>
  <r>
    <n v="10633"/>
    <x v="36"/>
    <x v="1"/>
    <n v="2.95"/>
    <s v="Online "/>
    <x v="0"/>
    <x v="2"/>
    <n v="678"/>
    <s v="Lisbon"/>
    <s v="Portugal"/>
    <n v="2000.1000000000001"/>
  </r>
  <r>
    <n v="10634"/>
    <x v="36"/>
    <x v="2"/>
    <n v="4.99"/>
    <s v="Online "/>
    <x v="0"/>
    <x v="2"/>
    <n v="201"/>
    <s v="Lisbon"/>
    <s v="Portugal"/>
    <n v="1002.99"/>
  </r>
  <r>
    <n v="10635"/>
    <x v="37"/>
    <x v="3"/>
    <n v="12.99"/>
    <s v="Online "/>
    <x v="0"/>
    <x v="2"/>
    <n v="555"/>
    <s v="Lisbon"/>
    <s v="Portugal"/>
    <n v="7209.45"/>
  </r>
  <r>
    <n v="10636"/>
    <x v="37"/>
    <x v="4"/>
    <n v="9.9499999999999993"/>
    <s v="Online "/>
    <x v="0"/>
    <x v="2"/>
    <n v="222"/>
    <s v="Lisbon"/>
    <s v="Portugal"/>
    <n v="2208.8999999999996"/>
  </r>
  <r>
    <n v="10637"/>
    <x v="37"/>
    <x v="0"/>
    <n v="3.49"/>
    <s v="Online "/>
    <x v="0"/>
    <x v="2"/>
    <n v="631"/>
    <s v="Lisbon"/>
    <s v="Portugal"/>
    <n v="2202.19"/>
  </r>
  <r>
    <n v="10638"/>
    <x v="37"/>
    <x v="1"/>
    <n v="2.95"/>
    <s v="Online "/>
    <x v="0"/>
    <x v="2"/>
    <n v="678"/>
    <s v="Lisbon"/>
    <s v="Portugal"/>
    <n v="2000.1000000000001"/>
  </r>
  <r>
    <n v="10639"/>
    <x v="37"/>
    <x v="2"/>
    <n v="4.99"/>
    <s v="Online "/>
    <x v="0"/>
    <x v="2"/>
    <n v="201"/>
    <s v="Lisbon"/>
    <s v="Portugal"/>
    <n v="1002.99"/>
  </r>
  <r>
    <n v="10640"/>
    <x v="38"/>
    <x v="3"/>
    <n v="12.99"/>
    <s v="Online "/>
    <x v="0"/>
    <x v="2"/>
    <n v="539"/>
    <s v="Lisbon"/>
    <s v="Portugal"/>
    <n v="7001.61"/>
  </r>
  <r>
    <n v="10641"/>
    <x v="38"/>
    <x v="4"/>
    <n v="9.9499999999999993"/>
    <s v="Online "/>
    <x v="0"/>
    <x v="2"/>
    <n v="222"/>
    <s v="Lisbon"/>
    <s v="Portugal"/>
    <n v="2208.8999999999996"/>
  </r>
  <r>
    <n v="10642"/>
    <x v="38"/>
    <x v="0"/>
    <n v="3.49"/>
    <s v="Online "/>
    <x v="2"/>
    <x v="2"/>
    <n v="631"/>
    <s v="Lisbon"/>
    <s v="Portugal"/>
    <n v="2202.19"/>
  </r>
  <r>
    <n v="10643"/>
    <x v="38"/>
    <x v="1"/>
    <n v="2.95"/>
    <s v="Online "/>
    <x v="2"/>
    <x v="2"/>
    <n v="678"/>
    <s v="Lisbon"/>
    <s v="Portugal"/>
    <n v="2000.1000000000001"/>
  </r>
  <r>
    <n v="10644"/>
    <x v="38"/>
    <x v="2"/>
    <n v="4.99"/>
    <s v="Online "/>
    <x v="2"/>
    <x v="2"/>
    <n v="201"/>
    <s v="Lisbon"/>
    <s v="Portugal"/>
    <n v="1002.99"/>
  </r>
  <r>
    <n v="10645"/>
    <x v="39"/>
    <x v="3"/>
    <n v="12.99"/>
    <s v="Online "/>
    <x v="2"/>
    <x v="2"/>
    <n v="570"/>
    <s v="Lisbon"/>
    <s v="Portugal"/>
    <n v="7404.3"/>
  </r>
  <r>
    <n v="10646"/>
    <x v="39"/>
    <x v="4"/>
    <n v="9.9499999999999993"/>
    <s v="Online "/>
    <x v="2"/>
    <x v="2"/>
    <n v="222"/>
    <s v="Lisbon"/>
    <s v="Portugal"/>
    <n v="2208.8999999999996"/>
  </r>
  <r>
    <n v="10647"/>
    <x v="39"/>
    <x v="0"/>
    <n v="3.49"/>
    <s v="Online "/>
    <x v="0"/>
    <x v="2"/>
    <n v="631"/>
    <s v="Lisbon"/>
    <s v="Portugal"/>
    <n v="2202.19"/>
  </r>
  <r>
    <n v="10648"/>
    <x v="39"/>
    <x v="1"/>
    <n v="2.95"/>
    <s v="Online "/>
    <x v="0"/>
    <x v="2"/>
    <n v="746"/>
    <s v="Lisbon"/>
    <s v="Portugal"/>
    <n v="2200.7000000000003"/>
  </r>
  <r>
    <n v="10649"/>
    <x v="39"/>
    <x v="2"/>
    <n v="4.99"/>
    <s v="Online "/>
    <x v="0"/>
    <x v="2"/>
    <n v="201"/>
    <s v="Lisbon"/>
    <s v="Portugal"/>
    <n v="1002.99"/>
  </r>
  <r>
    <n v="10650"/>
    <x v="40"/>
    <x v="3"/>
    <n v="12.99"/>
    <s v="Online "/>
    <x v="0"/>
    <x v="2"/>
    <n v="586"/>
    <s v="Lisbon"/>
    <s v="Portugal"/>
    <n v="7612.14"/>
  </r>
  <r>
    <n v="10651"/>
    <x v="40"/>
    <x v="4"/>
    <n v="9.9499999999999993"/>
    <s v="Online "/>
    <x v="0"/>
    <x v="2"/>
    <n v="222"/>
    <s v="Lisbon"/>
    <s v="Portugal"/>
    <n v="2208.8999999999996"/>
  </r>
  <r>
    <n v="10652"/>
    <x v="40"/>
    <x v="0"/>
    <n v="3.49"/>
    <s v="Online "/>
    <x v="0"/>
    <x v="2"/>
    <n v="688"/>
    <s v="Lisbon"/>
    <s v="Portugal"/>
    <n v="2401.1200000000003"/>
  </r>
  <r>
    <n v="10653"/>
    <x v="40"/>
    <x v="1"/>
    <n v="2.95"/>
    <s v="Online "/>
    <x v="0"/>
    <x v="2"/>
    <n v="746"/>
    <s v="Lisbon"/>
    <s v="Portugal"/>
    <n v="2200.7000000000003"/>
  </r>
  <r>
    <n v="10654"/>
    <x v="40"/>
    <x v="2"/>
    <n v="4.99"/>
    <s v="Online "/>
    <x v="0"/>
    <x v="2"/>
    <n v="201"/>
    <s v="Lisbon"/>
    <s v="Portugal"/>
    <n v="1002.99"/>
  </r>
  <r>
    <n v="10655"/>
    <x v="41"/>
    <x v="3"/>
    <n v="12.99"/>
    <s v="Online "/>
    <x v="0"/>
    <x v="2"/>
    <n v="601"/>
    <s v="Lisbon"/>
    <s v="Portugal"/>
    <n v="7806.99"/>
  </r>
  <r>
    <n v="10656"/>
    <x v="41"/>
    <x v="4"/>
    <n v="9.9499999999999993"/>
    <s v="Online "/>
    <x v="0"/>
    <x v="2"/>
    <n v="222"/>
    <s v="Lisbon"/>
    <s v="Portugal"/>
    <n v="2208.8999999999996"/>
  </r>
  <r>
    <n v="10657"/>
    <x v="41"/>
    <x v="0"/>
    <n v="3.49"/>
    <s v="Online "/>
    <x v="0"/>
    <x v="2"/>
    <n v="688"/>
    <s v="Lisbon"/>
    <s v="Portugal"/>
    <n v="2401.1200000000003"/>
  </r>
  <r>
    <n v="10658"/>
    <x v="41"/>
    <x v="1"/>
    <n v="2.95"/>
    <s v="Online "/>
    <x v="2"/>
    <x v="2"/>
    <n v="746"/>
    <s v="Lisbon"/>
    <s v="Portugal"/>
    <n v="2200.7000000000003"/>
  </r>
  <r>
    <n v="10659"/>
    <x v="41"/>
    <x v="2"/>
    <n v="4.99"/>
    <s v="Online "/>
    <x v="2"/>
    <x v="2"/>
    <n v="201"/>
    <s v="Lisbon"/>
    <s v="Portugal"/>
    <n v="1002.99"/>
  </r>
  <r>
    <n v="10660"/>
    <x v="42"/>
    <x v="3"/>
    <n v="12.99"/>
    <s v="In-store "/>
    <x v="2"/>
    <x v="2"/>
    <n v="632"/>
    <s v="Lisbon"/>
    <s v="Portugal"/>
    <n v="8209.68"/>
  </r>
  <r>
    <n v="10661"/>
    <x v="42"/>
    <x v="4"/>
    <n v="9.9499999999999993"/>
    <s v="In-store "/>
    <x v="2"/>
    <x v="2"/>
    <n v="222"/>
    <s v="Lisbon"/>
    <s v="Portugal"/>
    <n v="2208.8999999999996"/>
  </r>
  <r>
    <n v="10662"/>
    <x v="42"/>
    <x v="0"/>
    <n v="3.49"/>
    <s v="In-store "/>
    <x v="2"/>
    <x v="2"/>
    <n v="631"/>
    <s v="Lisbon"/>
    <s v="Portugal"/>
    <n v="2202.19"/>
  </r>
  <r>
    <n v="10663"/>
    <x v="42"/>
    <x v="1"/>
    <n v="2.95"/>
    <s v="In-store "/>
    <x v="2"/>
    <x v="2"/>
    <n v="746"/>
    <s v="Lisbon"/>
    <s v="Portugal"/>
    <n v="2200.7000000000003"/>
  </r>
  <r>
    <n v="10664"/>
    <x v="42"/>
    <x v="2"/>
    <n v="4.99"/>
    <s v="In-store "/>
    <x v="2"/>
    <x v="2"/>
    <n v="201"/>
    <s v="Lisbon"/>
    <s v="Portugal"/>
    <n v="1002.99"/>
  </r>
  <r>
    <n v="10665"/>
    <x v="43"/>
    <x v="3"/>
    <n v="12.99"/>
    <s v="In-store "/>
    <x v="2"/>
    <x v="2"/>
    <n v="647"/>
    <s v="Lisbon"/>
    <s v="Portugal"/>
    <n v="8404.5300000000007"/>
  </r>
  <r>
    <n v="10666"/>
    <x v="43"/>
    <x v="4"/>
    <n v="9.9499999999999993"/>
    <s v="In-store "/>
    <x v="2"/>
    <x v="2"/>
    <n v="222"/>
    <s v="Lisbon"/>
    <s v="Portugal"/>
    <n v="2208.8999999999996"/>
  </r>
  <r>
    <n v="10667"/>
    <x v="43"/>
    <x v="0"/>
    <n v="3.49"/>
    <s v="In-store "/>
    <x v="2"/>
    <x v="2"/>
    <n v="631"/>
    <s v="Lisbon"/>
    <s v="Portugal"/>
    <n v="2202.19"/>
  </r>
  <r>
    <n v="10668"/>
    <x v="43"/>
    <x v="1"/>
    <n v="2.95"/>
    <s v="In-store "/>
    <x v="2"/>
    <x v="2"/>
    <n v="746"/>
    <s v="Lisbon"/>
    <s v="Portugal"/>
    <n v="2200.7000000000003"/>
  </r>
  <r>
    <n v="10669"/>
    <x v="43"/>
    <x v="2"/>
    <n v="4.99"/>
    <s v="In-store "/>
    <x v="2"/>
    <x v="2"/>
    <n v="201"/>
    <s v="Lisbon"/>
    <s v="Portugal"/>
    <n v="1002.99"/>
  </r>
  <r>
    <n v="10670"/>
    <x v="44"/>
    <x v="3"/>
    <n v="12.99"/>
    <s v="In-store "/>
    <x v="2"/>
    <x v="2"/>
    <n v="678"/>
    <s v="Lisbon"/>
    <s v="Portugal"/>
    <n v="8807.2199999999993"/>
  </r>
  <r>
    <n v="10671"/>
    <x v="44"/>
    <x v="4"/>
    <n v="9.9499999999999993"/>
    <s v="In-store "/>
    <x v="2"/>
    <x v="2"/>
    <n v="222"/>
    <s v="Lisbon"/>
    <s v="Portugal"/>
    <n v="2208.8999999999996"/>
  </r>
  <r>
    <n v="10672"/>
    <x v="44"/>
    <x v="0"/>
    <n v="3.49"/>
    <s v="In-store "/>
    <x v="2"/>
    <x v="2"/>
    <n v="631"/>
    <s v="Lisbon"/>
    <s v="Portugal"/>
    <n v="2202.19"/>
  </r>
  <r>
    <n v="10673"/>
    <x v="44"/>
    <x v="1"/>
    <n v="2.95"/>
    <s v="In-store "/>
    <x v="2"/>
    <x v="2"/>
    <n v="746"/>
    <s v="Lisbon"/>
    <s v="Portugal"/>
    <n v="2200.7000000000003"/>
  </r>
  <r>
    <n v="10674"/>
    <x v="44"/>
    <x v="2"/>
    <n v="4.99"/>
    <s v="In-store "/>
    <x v="2"/>
    <x v="2"/>
    <n v="201"/>
    <s v="Lisbon"/>
    <s v="Portugal"/>
    <n v="1002.99"/>
  </r>
  <r>
    <n v="10675"/>
    <x v="45"/>
    <x v="3"/>
    <n v="12.99"/>
    <s v="In-store "/>
    <x v="2"/>
    <x v="2"/>
    <n v="678"/>
    <s v="Lisbon"/>
    <s v="Portugal"/>
    <n v="8807.2199999999993"/>
  </r>
  <r>
    <n v="10676"/>
    <x v="45"/>
    <x v="4"/>
    <n v="9.9499999999999993"/>
    <s v="In-store "/>
    <x v="2"/>
    <x v="2"/>
    <n v="242"/>
    <s v="Lisbon"/>
    <s v="Portugal"/>
    <n v="2407.8999999999996"/>
  </r>
  <r>
    <n v="10677"/>
    <x v="45"/>
    <x v="0"/>
    <n v="3.49"/>
    <s v="In-store "/>
    <x v="2"/>
    <x v="2"/>
    <n v="631"/>
    <s v="Lisbon"/>
    <s v="Portugal"/>
    <n v="2202.19"/>
  </r>
  <r>
    <n v="10678"/>
    <x v="45"/>
    <x v="1"/>
    <n v="2.95"/>
    <s v="In-store "/>
    <x v="2"/>
    <x v="2"/>
    <n v="746"/>
    <s v="Lisbon"/>
    <s v="Portugal"/>
    <n v="2200.7000000000003"/>
  </r>
  <r>
    <n v="10679"/>
    <x v="45"/>
    <x v="2"/>
    <n v="4.99"/>
    <s v="In-store "/>
    <x v="2"/>
    <x v="2"/>
    <n v="201"/>
    <s v="Lisbon"/>
    <s v="Portugal"/>
    <n v="1002.99"/>
  </r>
  <r>
    <n v="10680"/>
    <x v="46"/>
    <x v="3"/>
    <n v="12.99"/>
    <s v="In-store "/>
    <x v="2"/>
    <x v="2"/>
    <n v="647"/>
    <s v="Lisbon"/>
    <s v="Portugal"/>
    <n v="8404.5300000000007"/>
  </r>
  <r>
    <n v="10681"/>
    <x v="46"/>
    <x v="4"/>
    <n v="9.9499999999999993"/>
    <s v="In-store "/>
    <x v="2"/>
    <x v="2"/>
    <n v="242"/>
    <s v="Lisbon"/>
    <s v="Portugal"/>
    <n v="2407.8999999999996"/>
  </r>
  <r>
    <n v="10682"/>
    <x v="46"/>
    <x v="0"/>
    <n v="3.49"/>
    <s v="In-store "/>
    <x v="2"/>
    <x v="2"/>
    <n v="631"/>
    <s v="Lisbon"/>
    <s v="Portugal"/>
    <n v="2202.19"/>
  </r>
  <r>
    <n v="10683"/>
    <x v="46"/>
    <x v="1"/>
    <n v="2.95"/>
    <s v="In-store "/>
    <x v="2"/>
    <x v="2"/>
    <n v="678"/>
    <s v="Lisbon"/>
    <s v="Portugal"/>
    <n v="2000.1000000000001"/>
  </r>
  <r>
    <n v="10684"/>
    <x v="46"/>
    <x v="2"/>
    <n v="4.99"/>
    <s v="In-store "/>
    <x v="2"/>
    <x v="2"/>
    <n v="201"/>
    <s v="Lisbon"/>
    <s v="Portugal"/>
    <n v="1002.99"/>
  </r>
  <r>
    <n v="10685"/>
    <x v="47"/>
    <x v="3"/>
    <n v="12.99"/>
    <s v="In-store "/>
    <x v="2"/>
    <x v="2"/>
    <n v="678"/>
    <s v="Lisbon"/>
    <s v="Portugal"/>
    <n v="8807.2199999999993"/>
  </r>
  <r>
    <n v="10686"/>
    <x v="47"/>
    <x v="4"/>
    <n v="9.9499999999999993"/>
    <s v="In-store "/>
    <x v="2"/>
    <x v="2"/>
    <n v="242"/>
    <s v="Lisbon"/>
    <s v="Portugal"/>
    <n v="2407.8999999999996"/>
  </r>
  <r>
    <n v="10687"/>
    <x v="47"/>
    <x v="0"/>
    <n v="3.49"/>
    <s v="In-store "/>
    <x v="2"/>
    <x v="3"/>
    <n v="631"/>
    <s v="Berlin"/>
    <s v="Germany"/>
    <n v="2202.19"/>
  </r>
  <r>
    <n v="10688"/>
    <x v="47"/>
    <x v="1"/>
    <n v="2.95"/>
    <s v="In-store "/>
    <x v="2"/>
    <x v="3"/>
    <n v="678"/>
    <s v="Berlin"/>
    <s v="Germany"/>
    <n v="2000.1000000000001"/>
  </r>
  <r>
    <n v="10689"/>
    <x v="47"/>
    <x v="2"/>
    <n v="4.99"/>
    <s v="In-store "/>
    <x v="2"/>
    <x v="3"/>
    <n v="201"/>
    <s v="Berlin"/>
    <s v="Germany"/>
    <n v="1002.99"/>
  </r>
  <r>
    <n v="10690"/>
    <x v="48"/>
    <x v="3"/>
    <n v="12.99"/>
    <s v="In-store "/>
    <x v="2"/>
    <x v="3"/>
    <n v="678"/>
    <s v="Berlin"/>
    <s v="Germany"/>
    <n v="8807.2199999999993"/>
  </r>
  <r>
    <n v="10691"/>
    <x v="48"/>
    <x v="4"/>
    <n v="9.9499999999999993"/>
    <s v="In-store "/>
    <x v="2"/>
    <x v="3"/>
    <n v="262"/>
    <s v="Berlin"/>
    <s v="Germany"/>
    <n v="2606.8999999999996"/>
  </r>
  <r>
    <n v="10692"/>
    <x v="48"/>
    <x v="0"/>
    <n v="3.49"/>
    <s v="In-store "/>
    <x v="2"/>
    <x v="3"/>
    <n v="631"/>
    <s v="Berlin"/>
    <s v="Germany"/>
    <n v="2202.19"/>
  </r>
  <r>
    <n v="10693"/>
    <x v="48"/>
    <x v="1"/>
    <n v="2.95"/>
    <s v="In-store "/>
    <x v="2"/>
    <x v="3"/>
    <n v="678"/>
    <s v="Berlin"/>
    <s v="Germany"/>
    <n v="2000.1000000000001"/>
  </r>
  <r>
    <n v="10694"/>
    <x v="48"/>
    <x v="2"/>
    <n v="4.99"/>
    <s v="In-store "/>
    <x v="2"/>
    <x v="3"/>
    <n v="201"/>
    <s v="Berlin"/>
    <s v="Germany"/>
    <n v="1002.99"/>
  </r>
  <r>
    <n v="10695"/>
    <x v="49"/>
    <x v="3"/>
    <n v="12.99"/>
    <s v="In-store "/>
    <x v="2"/>
    <x v="3"/>
    <n v="693"/>
    <s v="Berlin"/>
    <s v="Germany"/>
    <n v="9002.07"/>
  </r>
  <r>
    <n v="10696"/>
    <x v="49"/>
    <x v="4"/>
    <n v="9.9499999999999993"/>
    <s v="In-store "/>
    <x v="2"/>
    <x v="3"/>
    <n v="282"/>
    <s v="Berlin"/>
    <s v="Germany"/>
    <n v="2805.8999999999996"/>
  </r>
  <r>
    <n v="10697"/>
    <x v="49"/>
    <x v="0"/>
    <n v="3.49"/>
    <s v="In-store "/>
    <x v="2"/>
    <x v="3"/>
    <n v="631"/>
    <s v="Berlin"/>
    <s v="Germany"/>
    <n v="2202.19"/>
  </r>
  <r>
    <n v="10698"/>
    <x v="49"/>
    <x v="1"/>
    <n v="2.95"/>
    <s v="In-store "/>
    <x v="2"/>
    <x v="3"/>
    <n v="678"/>
    <s v="Berlin"/>
    <s v="Germany"/>
    <n v="2000.1000000000001"/>
  </r>
  <r>
    <n v="10699"/>
    <x v="49"/>
    <x v="2"/>
    <n v="4.99"/>
    <s v="In-store "/>
    <x v="2"/>
    <x v="3"/>
    <n v="201"/>
    <s v="Berlin"/>
    <s v="Germany"/>
    <n v="1002.99"/>
  </r>
  <r>
    <n v="10700"/>
    <x v="50"/>
    <x v="3"/>
    <n v="12.99"/>
    <s v="In-store "/>
    <x v="2"/>
    <x v="3"/>
    <n v="693"/>
    <s v="Berlin"/>
    <s v="Germany"/>
    <n v="9002.07"/>
  </r>
  <r>
    <n v="10701"/>
    <x v="50"/>
    <x v="4"/>
    <n v="9.9499999999999993"/>
    <s v="In-store "/>
    <x v="2"/>
    <x v="3"/>
    <n v="282"/>
    <s v="Berlin"/>
    <s v="Germany"/>
    <n v="2805.8999999999996"/>
  </r>
  <r>
    <n v="10702"/>
    <x v="50"/>
    <x v="0"/>
    <n v="3.49"/>
    <s v="In-store "/>
    <x v="2"/>
    <x v="3"/>
    <n v="631"/>
    <s v="Berlin"/>
    <s v="Germany"/>
    <n v="2202.19"/>
  </r>
  <r>
    <n v="10703"/>
    <x v="50"/>
    <x v="1"/>
    <n v="2.95"/>
    <s v="In-store "/>
    <x v="0"/>
    <x v="3"/>
    <n v="678"/>
    <s v="Berlin"/>
    <s v="Germany"/>
    <n v="2000.1000000000001"/>
  </r>
  <r>
    <n v="10704"/>
    <x v="50"/>
    <x v="2"/>
    <n v="4.99"/>
    <s v="Drive-thru "/>
    <x v="0"/>
    <x v="3"/>
    <n v="201"/>
    <s v="Berlin"/>
    <s v="Germany"/>
    <n v="1002.99"/>
  </r>
  <r>
    <n v="10705"/>
    <x v="51"/>
    <x v="3"/>
    <n v="12.99"/>
    <s v="Drive-thru "/>
    <x v="0"/>
    <x v="3"/>
    <n v="724"/>
    <s v="Berlin"/>
    <s v="Germany"/>
    <n v="9404.76"/>
  </r>
  <r>
    <n v="10706"/>
    <x v="51"/>
    <x v="4"/>
    <n v="9.9499999999999993"/>
    <s v="Drive-thru "/>
    <x v="0"/>
    <x v="3"/>
    <n v="302"/>
    <s v="Berlin"/>
    <s v="Germany"/>
    <n v="3004.8999999999996"/>
  </r>
  <r>
    <n v="10707"/>
    <x v="51"/>
    <x v="0"/>
    <n v="3.49"/>
    <s v="Drive-thru "/>
    <x v="0"/>
    <x v="3"/>
    <n v="631"/>
    <s v="Berlin"/>
    <s v="Germany"/>
    <n v="2202.19"/>
  </r>
  <r>
    <n v="10708"/>
    <x v="51"/>
    <x v="1"/>
    <n v="2.95"/>
    <s v="Drive-thru "/>
    <x v="0"/>
    <x v="3"/>
    <n v="678"/>
    <s v="Berlin"/>
    <s v="Germany"/>
    <n v="2000.1000000000001"/>
  </r>
  <r>
    <n v="10709"/>
    <x v="51"/>
    <x v="2"/>
    <n v="4.99"/>
    <s v="Drive-thru "/>
    <x v="0"/>
    <x v="3"/>
    <n v="201"/>
    <s v="Berlin"/>
    <s v="Germany"/>
    <n v="1002.99"/>
  </r>
  <r>
    <n v="10710"/>
    <x v="52"/>
    <x v="3"/>
    <n v="12.99"/>
    <s v="Drive-thru "/>
    <x v="0"/>
    <x v="3"/>
    <n v="755"/>
    <s v="Berlin"/>
    <s v="Germany"/>
    <n v="9807.4500000000007"/>
  </r>
  <r>
    <n v="10711"/>
    <x v="52"/>
    <x v="4"/>
    <n v="9.9499999999999993"/>
    <s v="Drive-thru "/>
    <x v="0"/>
    <x v="3"/>
    <n v="282"/>
    <s v="Berlin"/>
    <s v="Germany"/>
    <n v="2805.8999999999996"/>
  </r>
  <r>
    <n v="10712"/>
    <x v="52"/>
    <x v="0"/>
    <n v="3.49"/>
    <s v="Drive-thru "/>
    <x v="0"/>
    <x v="3"/>
    <n v="631"/>
    <s v="Berlin"/>
    <s v="Germany"/>
    <n v="2202.19"/>
  </r>
  <r>
    <n v="10713"/>
    <x v="52"/>
    <x v="1"/>
    <n v="2.95"/>
    <s v="Drive-thru "/>
    <x v="0"/>
    <x v="3"/>
    <n v="678"/>
    <s v="Berlin"/>
    <s v="Germany"/>
    <n v="2000.1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CABEE-E292-4D9F-87B9-2BEFE790AEFE}"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M4:N8" firstHeaderRow="1" firstDataRow="1" firstDataCol="1"/>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i>
    <i>
      <x v="2"/>
    </i>
    <i t="grand">
      <x/>
    </i>
  </rowItems>
  <colItems count="1">
    <i/>
  </colItems>
  <dataFields count="1">
    <dataField name="Sum of Revenue"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38BF9-9F6A-4627-B4E4-F60CB3DA411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A28D6-F950-49BD-982B-43FDB3E83B0F}"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H4:I10" firstHeaderRow="1" firstDataRow="1" firstDataCol="1"/>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3"/>
    </i>
    <i>
      <x v="1"/>
    </i>
    <i>
      <x v="2"/>
    </i>
    <i>
      <x v="4"/>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3C9523-D2C0-46A3-A4DB-D26A29C9763B}"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axis="axisRow" showAll="0" sortType="a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
    </i>
    <i>
      <x v="4"/>
    </i>
    <i>
      <x v="1"/>
    </i>
    <i>
      <x v="3"/>
    </i>
    <i>
      <x/>
    </i>
    <i t="grand">
      <x/>
    </i>
  </rowItems>
  <colItems count="1">
    <i/>
  </colItems>
  <dataFields count="1">
    <dataField name="Sum of Revenue" fld="10" baseField="0" baseItem="0"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A29B5-73C2-4F3E-BA17-A72E67859D4A}"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6">
        <item x="2"/>
        <item h="1" x="1"/>
        <item h="1" x="4"/>
        <item h="1"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1"/>
    </i>
    <i>
      <x/>
    </i>
    <i>
      <x v="3"/>
    </i>
    <i>
      <x v="2"/>
    </i>
    <i>
      <x v="4"/>
    </i>
    <i t="grand">
      <x/>
    </i>
  </rowItems>
  <colItems count="1">
    <i/>
  </colItems>
  <dataFields count="1">
    <dataField name="Sum of Revenue" fld="10" baseField="0" baseItem="0" numFmtId="167"/>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095519-6373-4224-93D4-FFE19313A1B1}"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5" firstHeaderRow="1" firstDataRow="1" firstDataCol="1"/>
  <pivotFields count="13">
    <pivotField showAll="0"/>
    <pivotField axis="axisRow"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6">
        <item x="2"/>
        <item h="1" x="1"/>
        <item h="1" x="4"/>
        <item h="1"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x="0"/>
        <item x="1"/>
        <item x="2"/>
        <item x="3"/>
        <item x="4"/>
        <item x="5"/>
        <item x="6"/>
        <item x="7"/>
        <item x="8"/>
        <item x="9"/>
        <item x="10"/>
        <item x="11"/>
        <item x="12"/>
        <item x="13"/>
        <item t="default"/>
      </items>
    </pivotField>
  </pivotFields>
  <rowFields count="3">
    <field x="12"/>
    <field x="11"/>
    <field x="1"/>
  </rowFields>
  <rowItems count="22">
    <i>
      <x v="11"/>
    </i>
    <i r="1">
      <x v="312"/>
    </i>
    <i r="1">
      <x v="318"/>
    </i>
    <i r="1">
      <x v="319"/>
    </i>
    <i r="1">
      <x v="324"/>
    </i>
    <i r="1">
      <x v="325"/>
    </i>
    <i r="1">
      <x v="328"/>
    </i>
    <i>
      <x v="12"/>
    </i>
    <i r="1">
      <x v="347"/>
    </i>
    <i r="1">
      <x v="348"/>
    </i>
    <i r="1">
      <x v="349"/>
    </i>
    <i r="1">
      <x v="350"/>
    </i>
    <i r="1">
      <x v="351"/>
    </i>
    <i r="1">
      <x v="352"/>
    </i>
    <i r="1">
      <x v="353"/>
    </i>
    <i r="1">
      <x v="354"/>
    </i>
    <i r="1">
      <x v="355"/>
    </i>
    <i r="1">
      <x v="356"/>
    </i>
    <i r="1">
      <x v="357"/>
    </i>
    <i r="1">
      <x v="358"/>
    </i>
    <i r="1">
      <x v="359"/>
    </i>
    <i t="grand">
      <x/>
    </i>
  </rowItems>
  <colItems count="1">
    <i/>
  </colItems>
  <dataFields count="1">
    <dataField name="Sum of Revenue" fld="10" baseField="0" baseItem="0" numFmtId="167"/>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7CD118-BE40-44B3-96E6-A09AE7DB7278}"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7" firstHeaderRow="0" firstDataRow="1" firstDataCol="1"/>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sortType="descending">
      <autoSortScope>
        <pivotArea dataOnly="0" outline="0" fieldPosition="0">
          <references count="1">
            <reference field="4294967294" count="1" selected="0">
              <x v="1"/>
            </reference>
          </references>
        </pivotArea>
      </autoSortScope>
    </pivotField>
    <pivotField showAll="0"/>
    <pivotField showAll="0"/>
    <pivotField axis="axisRow" showAll="0" sortType="ascending">
      <items count="4">
        <item x="2"/>
        <item x="1"/>
        <item x="0"/>
        <item t="default"/>
      </items>
      <autoSortScope>
        <pivotArea dataOnly="0" outline="0" fieldPosition="0">
          <references count="1">
            <reference field="4294967294" count="1" selected="0">
              <x v="1"/>
            </reference>
          </references>
        </pivotArea>
      </autoSortScope>
    </pivotField>
    <pivotField showAll="0" sortType="ascending">
      <items count="6">
        <item x="2"/>
        <item h="1" x="1"/>
        <item h="1" x="4"/>
        <item h="1" x="0"/>
        <item h="1" x="3"/>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x="0"/>
        <item x="1"/>
        <item x="2"/>
        <item x="3"/>
        <item x="4"/>
        <item x="5"/>
        <item x="6"/>
        <item x="7"/>
        <item x="8"/>
        <item x="9"/>
        <item x="10"/>
        <item x="11"/>
        <item x="12"/>
        <item x="13"/>
        <item t="default"/>
      </items>
    </pivotField>
  </pivotFields>
  <rowFields count="1">
    <field x="5"/>
  </rowFields>
  <rowItems count="4">
    <i>
      <x v="2"/>
    </i>
    <i>
      <x v="1"/>
    </i>
    <i>
      <x/>
    </i>
    <i t="grand">
      <x/>
    </i>
  </rowItems>
  <colFields count="1">
    <field x="-2"/>
  </colFields>
  <colItems count="2">
    <i>
      <x/>
    </i>
    <i i="1">
      <x v="1"/>
    </i>
  </colItems>
  <dataFields count="2">
    <dataField name="Sum of Revenue2" fld="10" showDataAs="percentOfRow" baseField="0" baseItem="0" numFmtId="10"/>
    <dataField name="Sum of Revenue" fld="10" showDataAs="percentOfCol" baseField="0" baseItem="0" numFmtId="10"/>
  </dataFields>
  <chartFormats count="9">
    <chartFormat chart="0"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1"/>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5" count="1" selected="0">
            <x v="1"/>
          </reference>
        </references>
      </pivotArea>
    </chartFormat>
    <chartFormat chart="15"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C58947-34CC-4432-86CC-1F2B0D8FC621}"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5" firstHeaderRow="1" firstDataRow="1" firstDataCol="1"/>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showAll="0">
      <items count="6">
        <item x="2"/>
        <item h="1" x="1"/>
        <item h="1" x="4"/>
        <item h="1" x="0"/>
        <item h="1" x="3"/>
        <item t="default"/>
      </items>
    </pivotField>
    <pivotField showAll="0"/>
    <pivotField showAll="0"/>
    <pivotField showAll="0"/>
    <pivotField dataField="1" showAll="0"/>
    <pivotField axis="axisRow" showAll="0" measureFilter="1">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2">
    <i>
      <x v="318"/>
    </i>
    <i t="grand">
      <x/>
    </i>
  </rowItems>
  <colItems count="1">
    <i/>
  </colItems>
  <dataFields count="1">
    <dataField name="Sum of Revenue" fld="10" baseField="0" baseItem="0" numFmtId="167"/>
  </dataFields>
  <formats count="1">
    <format dxfId="5">
      <pivotArea dataOnly="0" labelOnly="1" fieldPosition="0">
        <references count="1">
          <reference field="11" count="1">
            <x v="318"/>
          </reference>
        </references>
      </pivotArea>
    </format>
  </formats>
  <chartFormats count="1">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6CA7F5-49E2-4BA0-9634-459E23E6F02A}"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3:F4" firstHeaderRow="1" firstDataRow="1" firstDataCol="0"/>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showAll="0">
      <items count="6">
        <item x="2"/>
        <item h="1" x="1"/>
        <item h="1" x="4"/>
        <item h="1" x="0"/>
        <item h="1" x="3"/>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0" subtotal="average" baseField="0" baseItem="0" numFmtId="167"/>
  </dataFields>
  <chartFormats count="1">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82F5A4-2EC8-4AE5-8025-55378D48E935}"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3:C4" firstHeaderRow="1" firstDataRow="1" firstDataCol="0"/>
  <pivotFields count="13">
    <pivotField dataField="1"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showAll="0">
      <items count="6">
        <item x="2"/>
        <item h="1" x="1"/>
        <item h="1" x="4"/>
        <item h="1" x="0"/>
        <item h="1" x="3"/>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24C032-7976-4298-9E59-D688238C2872}"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A4" firstHeaderRow="1" firstDataRow="1" firstDataCol="0"/>
  <pivotFields count="13">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showAll="0">
      <items count="6">
        <item x="2"/>
        <item h="1" x="1"/>
        <item h="1" x="4"/>
        <item h="1" x="0"/>
        <item h="1" x="3"/>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0"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adrid" TargetMode="External"/><Relationship Id="rId13" Type="http://schemas.openxmlformats.org/officeDocument/2006/relationships/hyperlink" Target="https://www.bing.com/th?id=OSK.2R6X-2rJ8ue6Giio7yB8wB6GVu7EGVxdsO2kFtgc_ho&amp;qlt=95" TargetMode="External"/><Relationship Id="rId18" Type="http://schemas.openxmlformats.org/officeDocument/2006/relationships/hyperlink" Target="https://www.bing.com/images/search?form=xlimg&amp;q=Germany" TargetMode="External"/><Relationship Id="rId3" Type="http://schemas.openxmlformats.org/officeDocument/2006/relationships/hyperlink" Target="https://www.bing.com/th?id=OSK.E2lIqLN-Z7m4c8rTdZmqL2TM0k3GXjMjfyfdh4QhMe8&amp;qlt=95" TargetMode="External"/><Relationship Id="rId21" Type="http://schemas.openxmlformats.org/officeDocument/2006/relationships/hyperlink" Target="https://www.bing.com/th?id=OSK.wR5RmsfQPhWl9e5_qAv2YieW3sPHIOzYmHqAjbnccHU&amp;qlt=95" TargetMode="External"/><Relationship Id="rId7" Type="http://schemas.openxmlformats.org/officeDocument/2006/relationships/hyperlink" Target="https://www.bing.com/th?id=OSK.12f7533dca5f011065a431e87678062b&amp;qlt=95" TargetMode="External"/><Relationship Id="rId12" Type="http://schemas.openxmlformats.org/officeDocument/2006/relationships/hyperlink" Target="https://www.bing.com/images/search?form=xlimg&amp;q=Lisbon" TargetMode="External"/><Relationship Id="rId17" Type="http://schemas.openxmlformats.org/officeDocument/2006/relationships/hyperlink" Target="https://www.bing.com/th?id=OSK.04ZSdTwPE5BW3j634mcJnnlfprSiOAxCh4QZV8myru8&amp;qlt=95" TargetMode="External"/><Relationship Id="rId2" Type="http://schemas.openxmlformats.org/officeDocument/2006/relationships/hyperlink" Target="https://www.bing.com/images/search?form=xlimg&amp;q=London" TargetMode="External"/><Relationship Id="rId16" Type="http://schemas.openxmlformats.org/officeDocument/2006/relationships/hyperlink" Target="https://www.bing.com/images/search?form=xlimg&amp;q=Berlin" TargetMode="External"/><Relationship Id="rId20" Type="http://schemas.openxmlformats.org/officeDocument/2006/relationships/hyperlink" Target="https://www.bing.com/images/search?form=xlimg&amp;q=Paris"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United%20Kingdom" TargetMode="External"/><Relationship Id="rId11" Type="http://schemas.openxmlformats.org/officeDocument/2006/relationships/hyperlink" Target="https://www.bing.com/th?id=OSK.qpVD6-GLqoKGLS-mIBl5Aw3JpV3it7yRxHwrs1hztnc&amp;qlt=95" TargetMode="External"/><Relationship Id="rId5" Type="http://schemas.openxmlformats.org/officeDocument/2006/relationships/hyperlink" Target="https://www.bing.com/th?id=OSK.W_TxAT2CoDUJ8SbqFjMd4qsDc_5CUvIr-h4y7cKafKA&amp;qlt=95" TargetMode="External"/><Relationship Id="rId15" Type="http://schemas.openxmlformats.org/officeDocument/2006/relationships/hyperlink" Target="https://www.bing.com/th?id=OSK.guCr01rE0juM1FRsZZW9w2Du34gOTNzVm7XQIaDglYI&amp;qlt=95" TargetMode="External"/><Relationship Id="rId10" Type="http://schemas.openxmlformats.org/officeDocument/2006/relationships/hyperlink" Target="https://www.bing.com/images/search?form=xlimg&amp;q=Spain" TargetMode="External"/><Relationship Id="rId19" Type="http://schemas.openxmlformats.org/officeDocument/2006/relationships/hyperlink" Target="https://www.bing.com/th?id=OSK.6f397b35762e2852058e1cfc4607f893&amp;qlt=95" TargetMode="External"/><Relationship Id="rId4" Type="http://schemas.openxmlformats.org/officeDocument/2006/relationships/hyperlink" Target="https://www.bing.com/images/search?form=xlimg&amp;q=Greater%20London" TargetMode="External"/><Relationship Id="rId9" Type="http://schemas.openxmlformats.org/officeDocument/2006/relationships/hyperlink" Target="https://www.bing.com/th?id=OSK._1ex9cuuxW0pGSoiETBzJmszoKu2DeR2Tjr2wNfSpk4&amp;qlt=95" TargetMode="External"/><Relationship Id="rId14" Type="http://schemas.openxmlformats.org/officeDocument/2006/relationships/hyperlink" Target="https://www.bing.com/images/search?form=xlimg&amp;q=Portugal" TargetMode="External"/><Relationship Id="rId22" Type="http://schemas.openxmlformats.org/officeDocument/2006/relationships/hyperlink" Target="https://www.bing.com/images/search?form=xlimg&amp;q=Franc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Srd>
</file>

<file path=xl/richData/rdarray.xml><?xml version="1.0" encoding="utf-8"?>
<arrayData xmlns="http://schemas.microsoft.com/office/spreadsheetml/2017/richdata2" count="28">
  <a r="1">
    <v t="r">7</v>
  </a>
  <a r="1">
    <v t="s">Greenwich Mean Time</v>
  </a>
  <a r="2">
    <v t="r">38</v>
    <v t="r">39</v>
  </a>
  <a r="1">
    <v t="s">English language</v>
  </a>
  <a r="4">
    <v t="r">1</v>
    <v t="r">58</v>
    <v t="r">59</v>
    <v t="r">60</v>
  </a>
  <a r="2">
    <v t="s">Greenwich Mean Time</v>
    <v t="s">Western European Time</v>
  </a>
  <a r="1">
    <v t="r">75</v>
  </a>
  <a r="2">
    <v t="s">UTC+02:00</v>
    <v t="s">UTC+01:00</v>
  </a>
  <a r="2">
    <v t="r">100</v>
    <v t="r">101</v>
  </a>
  <a r="1">
    <v t="s">Spanish language</v>
  </a>
  <a r="18">
    <v t="r">120</v>
    <v t="r">121</v>
    <v t="r">70</v>
    <v t="r">122</v>
    <v t="r">123</v>
    <v t="r">124</v>
    <v t="r">125</v>
    <v t="r">126</v>
    <v t="r">127</v>
    <v t="r">128</v>
    <v t="r">129</v>
    <v t="r">130</v>
    <v t="r">131</v>
    <v t="r">132</v>
    <v t="r">133</v>
    <v t="r">134</v>
    <v t="r">135</v>
    <v t="r">136</v>
  </a>
  <a r="2">
    <v t="s">UTC+00:00</v>
    <v t="s">UTC+01:00</v>
  </a>
  <a r="2">
    <v t="r">170</v>
    <v t="r">171</v>
  </a>
  <a r="1">
    <v t="s">Portuguese language</v>
  </a>
  <a r="20">
    <v t="r">144</v>
    <v t="r">190</v>
    <v t="r">191</v>
    <v t="r">192</v>
    <v t="r">193</v>
    <v t="r">194</v>
    <v t="r">195</v>
    <v t="r">196</v>
    <v t="r">197</v>
    <v t="r">198</v>
    <v t="r">199</v>
    <v t="r">200</v>
    <v t="r">201</v>
    <v t="r">202</v>
    <v t="r">203</v>
    <v t="r">204</v>
    <v t="r">205</v>
    <v t="r">206</v>
    <v t="r">207</v>
    <v t="r">208</v>
  </a>
  <a r="2">
    <v t="s">Western European Summer Time</v>
    <v t="s">Western European Time</v>
  </a>
  <a r="1">
    <v t="r">222</v>
  </a>
  <a r="1">
    <v t="s">German language</v>
  </a>
  <a r="3">
    <v t="s">Central European Summer Time</v>
    <v t="s">Central European Time Zone</v>
    <v t="s">W. Europe Standard Time</v>
  </a>
  <a r="2">
    <v t="r">247</v>
    <v t="r">248</v>
  </a>
  <a r="15">
    <v t="r">265</v>
    <v t="r">266</v>
    <v t="r">216</v>
    <v t="r">267</v>
    <v t="r">268</v>
    <v t="r">269</v>
    <v t="r">270</v>
    <v t="r">271</v>
    <v t="r">272</v>
    <v t="r">273</v>
    <v t="r">274</v>
    <v t="r">275</v>
    <v t="r">276</v>
    <v t="r">277</v>
    <v t="r">278</v>
  </a>
  <a r="1">
    <v t="r">291</v>
  </a>
  <a r="2">
    <v t="r">314</v>
    <v t="r">315</v>
  </a>
  <a r="1">
    <v t="s">French language</v>
  </a>
  <a r="24">
    <v t="r">333</v>
    <v t="r">334</v>
    <v t="r">286</v>
    <v t="r">335</v>
    <v t="r">336</v>
    <v t="r">337</v>
    <v t="r">338</v>
    <v t="r">339</v>
    <v t="r">340</v>
    <v t="r">341</v>
    <v t="r">342</v>
    <v t="r">343</v>
    <v t="r">344</v>
    <v t="r">345</v>
    <v t="r">346</v>
    <v t="r">347</v>
    <v t="r">348</v>
    <v t="r">349</v>
    <v t="r">350</v>
    <v t="r">351</v>
    <v t="r">352</v>
    <v t="r">353</v>
    <v t="r">354</v>
    <v t="r">355</v>
  </a>
  <a r="1">
    <v t="s">Central European Time</v>
  </a>
  <a r="263">
    <v t="r">0</v>
    <v t="r">69</v>
    <v t="r">143</v>
    <v t="r">216</v>
    <v t="r">216</v>
    <v t="r">285</v>
    <v t="r">285</v>
    <v t="r">216</v>
    <v t="r">285</v>
    <v t="r">285</v>
    <v t="r">285</v>
    <v t="r">285</v>
    <v t="r">285</v>
    <v t="r">69</v>
    <v t="r">69</v>
    <v t="r">69</v>
    <v t="r">69</v>
    <v t="r">69</v>
    <v t="r">69</v>
    <v t="r">69</v>
    <v t="r">69</v>
    <v t="r">69</v>
    <v t="r">69</v>
    <v t="r">69</v>
    <v t="r">69</v>
    <v t="r">69</v>
    <v t="r">69</v>
    <v t="r">69</v>
    <v t="r">69</v>
    <v t="r">69</v>
    <v t="r">143</v>
    <v t="r">143</v>
    <v t="r">143</v>
    <v t="r">143</v>
    <v t="r">143</v>
    <v t="r">143</v>
    <v t="r">143</v>
    <v t="r">69</v>
    <v t="r">69</v>
    <v t="r">69</v>
    <v t="r">69</v>
    <v t="r">69</v>
    <v t="r">69</v>
    <v t="r">69</v>
    <v t="r">69</v>
    <v t="r">69</v>
    <v t="r">69</v>
    <v t="r">69</v>
    <v t="r">69</v>
    <v t="r">69</v>
    <v t="r">69</v>
    <v t="r">69</v>
    <v t="r">69</v>
    <v t="r">69</v>
    <v t="r">69</v>
    <v t="r">69</v>
    <v t="r">69</v>
    <v t="r">69</v>
    <v t="r">69</v>
    <v t="r">143</v>
    <v t="r">143</v>
    <v t="r">143</v>
    <v t="r">143</v>
    <v t="r">143</v>
    <v t="r">143</v>
    <v t="r">143</v>
    <v t="r">143</v>
    <v t="r">143</v>
    <v t="r">285</v>
    <v t="r">285</v>
    <v t="r">285</v>
    <v t="r">285</v>
    <v t="r">285</v>
    <v t="r">285</v>
    <v t="r">285</v>
    <v t="r">285</v>
    <v t="r">285</v>
    <v t="r">285</v>
    <v t="r">285</v>
    <v t="r">285</v>
    <v t="r">143</v>
    <v t="r">143</v>
    <v t="r">69</v>
    <v t="r">69</v>
    <v t="r">69</v>
    <v t="r">69</v>
    <v t="r">69</v>
    <v t="r">69</v>
    <v t="r">69</v>
    <v t="r">0</v>
    <v t="r">0</v>
    <v t="r">0</v>
    <v t="r">0</v>
    <v t="r">0</v>
    <v t="r">0</v>
    <v t="r">0</v>
    <v t="r">0</v>
    <v t="r">0</v>
    <v t="r">0</v>
    <v t="r">0</v>
    <v t="r">0</v>
    <v t="r">0</v>
    <v t="r">0</v>
    <v t="r">0</v>
    <v t="r">0</v>
    <v t="r">0</v>
    <v t="r">0</v>
    <v t="r">0</v>
    <v t="r">0</v>
    <v t="r">0</v>
    <v t="r">0</v>
    <v t="r">0</v>
    <v t="r">0</v>
    <v t="r">0</v>
    <v t="r">0</v>
    <v t="r">0</v>
    <v t="r">0</v>
    <v t="r">0</v>
    <v t="r">0</v>
    <v t="r">0</v>
    <v t="r">285</v>
    <v t="r">285</v>
    <v t="r">285</v>
    <v t="r">285</v>
    <v t="r">285</v>
    <v t="r">285</v>
    <v t="r">285</v>
    <v t="r">285</v>
    <v t="r">285</v>
    <v t="r">285</v>
    <v t="r">0</v>
    <v t="r">0</v>
    <v t="r">0</v>
    <v t="r">0</v>
    <v t="r">0</v>
    <v t="r">69</v>
    <v t="r">69</v>
    <v t="r">69</v>
    <v t="r">0</v>
    <v t="r">0</v>
    <v t="r">0</v>
    <v t="r">0</v>
    <v t="r">0</v>
    <v t="r">0</v>
    <v t="r">0</v>
    <v t="r">0</v>
    <v t="r">0</v>
    <v t="r">0</v>
    <v t="r">0</v>
    <v t="r">0</v>
    <v t="r">0</v>
    <v t="r">0</v>
    <v t="r">0</v>
    <v t="r">0</v>
    <v t="r">0</v>
    <v t="r">0</v>
    <v t="r">0</v>
    <v t="r">0</v>
    <v t="r">0</v>
    <v t="r">0</v>
    <v t="r">0</v>
    <v t="r">0</v>
    <v t="r">0</v>
    <v t="r">0</v>
    <v t="r">0</v>
    <v t="r">0</v>
    <v t="r">0</v>
    <v t="r">0</v>
    <v t="r">0</v>
    <v t="r">0</v>
    <v t="r">0</v>
    <v t="r">0</v>
    <v t="r">0</v>
    <v t="r">0</v>
    <v t="r">0</v>
    <v t="r">0</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216</v>
    <v t="r">216</v>
    <v t="r">216</v>
    <v t="r">216</v>
    <v t="r">216</v>
    <v t="r">216</v>
    <v t="r">216</v>
    <v t="r">216</v>
    <v t="r">216</v>
    <v t="r">216</v>
    <v t="r">216</v>
    <v t="r">216</v>
    <v t="r">216</v>
    <v t="r">216</v>
    <v t="r">216</v>
    <v t="r">216</v>
    <v t="r">216</v>
    <v t="r">216</v>
    <v t="r">216</v>
    <v t="r">216</v>
    <v t="r">216</v>
    <v t="r">216</v>
    <v t="r">216</v>
    <v t="r">216</v>
    <v t="r">216</v>
    <v t="r">216</v>
    <v t="r">216</v>
    <v t="i">2</v>
  </a>
  <a r="263">
    <v t="r">363</v>
    <v t="r">72</v>
    <v t="r">146</v>
    <v t="r">218</v>
    <v t="r">218</v>
    <v t="r">288</v>
    <v t="r">288</v>
    <v t="r">218</v>
    <v t="r">288</v>
    <v t="r">288</v>
    <v t="r">288</v>
    <v t="r">288</v>
    <v t="r">288</v>
    <v t="r">72</v>
    <v t="r">72</v>
    <v t="r">72</v>
    <v t="r">72</v>
    <v t="r">72</v>
    <v t="r">72</v>
    <v t="r">72</v>
    <v t="r">72</v>
    <v t="r">72</v>
    <v t="r">72</v>
    <v t="r">72</v>
    <v t="r">72</v>
    <v t="r">72</v>
    <v t="r">72</v>
    <v t="r">72</v>
    <v t="r">72</v>
    <v t="r">72</v>
    <v t="r">146</v>
    <v t="r">146</v>
    <v t="r">146</v>
    <v t="r">146</v>
    <v t="r">146</v>
    <v t="r">146</v>
    <v t="r">146</v>
    <v t="r">72</v>
    <v t="r">72</v>
    <v t="r">72</v>
    <v t="r">72</v>
    <v t="r">72</v>
    <v t="r">72</v>
    <v t="r">72</v>
    <v t="r">72</v>
    <v t="r">72</v>
    <v t="r">72</v>
    <v t="r">72</v>
    <v t="r">72</v>
    <v t="r">72</v>
    <v t="r">72</v>
    <v t="r">72</v>
    <v t="r">72</v>
    <v t="r">72</v>
    <v t="r">72</v>
    <v t="r">72</v>
    <v t="r">72</v>
    <v t="r">72</v>
    <v t="r">72</v>
    <v t="r">146</v>
    <v t="r">146</v>
    <v t="r">146</v>
    <v t="r">146</v>
    <v t="r">146</v>
    <v t="r">146</v>
    <v t="r">146</v>
    <v t="r">146</v>
    <v t="r">146</v>
    <v t="r">288</v>
    <v t="r">288</v>
    <v t="r">288</v>
    <v t="r">288</v>
    <v t="r">288</v>
    <v t="r">288</v>
    <v t="r">288</v>
    <v t="r">288</v>
    <v t="r">288</v>
    <v t="r">288</v>
    <v t="r">288</v>
    <v t="r">288</v>
    <v t="r">146</v>
    <v t="r">146</v>
    <v t="r">72</v>
    <v t="r">72</v>
    <v t="r">72</v>
    <v t="r">72</v>
    <v t="r">72</v>
    <v t="r">72</v>
    <v t="r">72</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288</v>
    <v t="r">288</v>
    <v t="r">288</v>
    <v t="r">288</v>
    <v t="r">288</v>
    <v t="r">288</v>
    <v t="r">288</v>
    <v t="r">288</v>
    <v t="r">288</v>
    <v t="r">288</v>
    <v t="r">363</v>
    <v t="r">363</v>
    <v t="r">363</v>
    <v t="r">363</v>
    <v t="r">363</v>
    <v t="r">72</v>
    <v t="r">72</v>
    <v t="r">72</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218</v>
    <v t="r">218</v>
    <v t="r">218</v>
    <v t="r">218</v>
    <v t="r">218</v>
    <v t="r">218</v>
    <v t="r">218</v>
    <v t="r">218</v>
    <v t="r">218</v>
    <v t="r">218</v>
    <v t="r">218</v>
    <v t="r">218</v>
    <v t="r">218</v>
    <v t="r">218</v>
    <v t="r">218</v>
    <v t="r">218</v>
    <v t="r">218</v>
    <v t="r">218</v>
    <v t="r">218</v>
    <v t="r">218</v>
    <v t="r">218</v>
    <v t="r">218</v>
    <v t="r">218</v>
    <v t="r">218</v>
    <v t="r">218</v>
    <v t="r">218</v>
    <v t="r">218</v>
    <v t="i">2</v>
  </a>
</arrayData>
</file>

<file path=xl/richData/rdrichvalue.xml><?xml version="1.0" encoding="utf-8"?>
<rvData xmlns="http://schemas.microsoft.com/office/spreadsheetml/2017/richdata" count="367">
  <rv s="0">
    <v>536870912</v>
    <v>London</v>
    <v>8e0ba7b6-4225-fa8a-6369-1b5294e602a5</v>
    <v>en-GB</v>
    <v>Map</v>
  </rv>
  <rv s="0">
    <v>536870912</v>
    <v>England</v>
    <v>280d39e8-7217-6863-6980-a8c20c211c89</v>
    <v>en-GB</v>
    <v>Map</v>
  </rv>
  <rv s="0">
    <v>536870912</v>
    <v>Greater London</v>
    <v>2ba8a441-178c-f2c0-26cb-a4b260b8c806</v>
    <v>en-GB</v>
    <v>Map</v>
  </rv>
  <rv s="1">
    <fb>1572</fb>
    <v>8</v>
  </rv>
  <rv s="0">
    <v>536870912</v>
    <v>England</v>
    <v>9007f664-e76b-8a59-02d7-5dbc1e979662</v>
    <v>en-GB</v>
    <v>Map</v>
  </rv>
  <rv s="2">
    <v>0</v>
    <v>6</v>
    <v>0</v>
    <v>7</v>
    <v>0</v>
    <v>Image of London</v>
  </rv>
  <rv s="1">
    <fb>51.507222222221998</fb>
    <v>9</v>
  </rv>
  <rv s="0">
    <v>805306368</v>
    <v>Sadiq Khan (Mayor)</v>
    <v>d7862dc2-4c03-1dc8-3412-7fe03041fdcb</v>
    <v>en-GB</v>
    <v>Generic</v>
  </rv>
  <rv s="3">
    <v>0</v>
  </rv>
  <rv s="4">
    <v>https://www.bing.com/search?q=london+england&amp;form=skydnc</v>
    <v>Learn more on Bing</v>
  </rv>
  <rv s="1">
    <fb>-0.1275</fb>
    <v>9</v>
  </rv>
  <rv s="1">
    <fb>9089736</fb>
    <v>8</v>
  </rv>
  <rv s="3">
    <v>1</v>
  </rv>
  <rv s="5">
    <v>#VALUE!</v>
    <v>en-GB</v>
    <v>8e0ba7b6-4225-fa8a-6369-1b5294e602a5</v>
    <v>536870912</v>
    <v>1</v>
    <v>1</v>
    <v>2</v>
    <v>London</v>
    <v>4</v>
    <v>5</v>
    <v>Map</v>
    <v>6</v>
    <v>7</v>
    <v>1</v>
    <v>2</v>
    <v>3</v>
    <v>4</v>
    <v>London is the capital and largest city of England and the United Kingdom, with a population of 9.14 million people in 2025. Its wider metropolitan area is the largest in Western Europe, with a population of 15.4 million. London stands on the ...</v>
    <v>5</v>
    <v>6</v>
    <v>8</v>
    <v>9</v>
    <v>10</v>
    <v>London</v>
    <v>11</v>
    <v>12</v>
    <v>London</v>
    <v>mdp/vdpid/5471798185326280713</v>
  </rv>
  <rv s="1">
    <fb>1569.2366</fb>
    <v>8</v>
  </rv>
  <rv s="0">
    <v>536870912</v>
    <v>United Kingdom</v>
    <v>b1a5155a-6bb2-4646-8f7c-3e6b3a53c831</v>
    <v>en-GB</v>
    <v>Map</v>
  </rv>
  <rv s="2">
    <v>1</v>
    <v>6</v>
    <v>10</v>
    <v>7</v>
    <v>0</v>
    <v>Image of Greater London</v>
  </rv>
  <rv s="4">
    <v>https://www.bing.com/search?q=greater+london&amp;form=skydnc</v>
    <v>Learn more on Bing</v>
  </rv>
  <rv s="1">
    <fb>9074625</fb>
    <v>8</v>
  </rv>
  <rv s="6">
    <v>#VALUE!</v>
    <v>en-GB</v>
    <v>2ba8a441-178c-f2c0-26cb-a4b260b8c806</v>
    <v>536870912</v>
    <v>1</v>
    <v>11</v>
    <v>12</v>
    <v>Greater London</v>
    <v>13</v>
    <v>5</v>
    <v>Map</v>
    <v>6</v>
    <v>7</v>
    <v>14</v>
    <v>15</v>
    <v>Greater London is an administrative area in England, coterminous with the London region, containing most of the continuous urban area of London. It contains 33 local government districts: the 32 London boroughs, which form a ceremonial county ...</v>
    <v>16</v>
    <v>17</v>
    <v>Greater London</v>
    <v>18</v>
    <v>12</v>
    <v>Greater London</v>
    <v>mdp/vdpid/-7989731321</v>
  </rv>
  <rv s="1">
    <fb>0.71714878141404492</fb>
    <v>33</v>
  </rv>
  <rv s="1">
    <fb>242495</fb>
    <v>8</v>
  </rv>
  <rv s="1">
    <fb>148000</fb>
    <v>8</v>
  </rv>
  <rv s="1">
    <fb>11</fb>
    <v>34</v>
  </rv>
  <rv s="1">
    <fb>44</fb>
    <v>35</v>
  </rv>
  <rv s="1">
    <fb>379024.78700000001</fb>
    <v>8</v>
  </rv>
  <rv s="1">
    <fb>119.622711300166</fb>
    <v>36</v>
  </rv>
  <rv s="1">
    <fb>1.7381046008651101E-2</fb>
    <v>33</v>
  </rv>
  <rv s="1">
    <fb>5129.5277927901998</fb>
    <v>8</v>
  </rv>
  <rv s="1">
    <fb>1.68</fb>
    <v>34</v>
  </rv>
  <rv s="1">
    <fb>0.130657628239573</fb>
    <v>33</v>
  </rv>
  <rv s="1">
    <fb>80.351771267255202</fb>
    <v>37</v>
  </rv>
  <rv s="1">
    <fb>1.46</fb>
    <v>38</v>
  </rv>
  <rv s="1">
    <fb>2827113184695.5801</fb>
    <v>39</v>
  </rv>
  <rv s="1">
    <fb>1.0115456</fb>
    <v>33</v>
  </rv>
  <rv s="1">
    <fb>0.59995569999999998</fb>
    <v>33</v>
  </rv>
  <rv s="2">
    <v>2</v>
    <v>6</v>
    <v>16</v>
    <v>7</v>
    <v>0</v>
    <v>Image of United Kingdom</v>
  </rv>
  <rv s="1">
    <fb>3.6</fb>
    <v>37</v>
  </rv>
  <rv s="0">
    <v>805306368</v>
    <v>Charles III (Monarch)</v>
    <v>afc6f6a9-5b55-9178-3e6f-2c8b6d16ee9c</v>
    <v>en-GB</v>
    <v>Generic</v>
  </rv>
  <rv s="0">
    <v>805306368</v>
    <v>Andy Burnham (Prime minister)</v>
    <v>4e9129fb-b2c4-067a-cc7e-e3d7970465ab</v>
    <v>en-GB</v>
    <v>Generic</v>
  </rv>
  <rv s="3">
    <v>2</v>
  </rv>
  <rv s="4">
    <v>https://www.bing.com/search?q=united+kingdom&amp;form=skydnc</v>
    <v>Learn more on Bing</v>
  </rv>
  <rv s="1">
    <fb>81.256097560975604</fb>
    <v>37</v>
  </rv>
  <rv s="1">
    <fb>1868152970000</fb>
    <v>39</v>
  </rv>
  <rv s="1">
    <fb>7</fb>
    <v>37</v>
  </rv>
  <rv s="1">
    <fb>10.130000000000001</fb>
    <v>38</v>
  </rv>
  <rv s="3">
    <v>3</v>
  </rv>
  <rv s="1">
    <fb>0.14794489889999998</fb>
    <v>33</v>
  </rv>
  <rv s="1">
    <fb>2.8117000000000001</fb>
    <v>34</v>
  </rv>
  <rv s="1">
    <fb>68751311</fb>
    <v>8</v>
  </rv>
  <rv s="1">
    <fb>0.22500000000000001</fb>
    <v>33</v>
  </rv>
  <rv s="1">
    <fb>0.26800000000000002</fb>
    <v>33</v>
  </rv>
  <rv s="1">
    <fb>0.42100000000000004</fb>
    <v>33</v>
  </rv>
  <rv s="1">
    <fb>2.7999999999999997E-2</fb>
    <v>33</v>
  </rv>
  <rv s="1">
    <fb>7.0999999999999994E-2</fb>
    <v>33</v>
  </rv>
  <rv s="1">
    <fb>0.11900000000000001</fb>
    <v>33</v>
  </rv>
  <rv s="1">
    <fb>0.16399999999999998</fb>
    <v>33</v>
  </rv>
  <rv s="1">
    <fb>0.62773998260497998</fb>
    <v>33</v>
  </rv>
  <rv s="0">
    <v>536870912</v>
    <v>Wales</v>
    <v>b51b24e1-6afb-d525-d360-f2eb5bf3410b</v>
    <v>en-GB</v>
    <v>Map</v>
  </rv>
  <rv s="0">
    <v>536870912</v>
    <v>Scotland</v>
    <v>a0377d96-1a18-f843-65ad-adcbc4acdc69</v>
    <v>en-GB</v>
    <v>Map</v>
  </rv>
  <rv s="0">
    <v>536870912</v>
    <v>Northern Ireland</v>
    <v>e4b8bc44-385c-e87b-bb7d-b32328f53502</v>
    <v>en-GB</v>
    <v>Map</v>
  </rv>
  <rv s="3">
    <v>4</v>
  </rv>
  <rv s="1">
    <fb>0.255052921600669</fb>
    <v>33</v>
  </rv>
  <rv s="3">
    <v>5</v>
  </rv>
  <rv s="1">
    <fb>0.30599999999999999</fb>
    <v>33</v>
  </rv>
  <rv s="1">
    <fb>3.8510000705719E-2</fb>
    <v>40</v>
  </rv>
  <rv s="1">
    <fb>55908316</fb>
    <v>8</v>
  </rv>
  <rv s="7">
    <v>#VALUE!</v>
    <v>en-GB</v>
    <v>b1a5155a-6bb2-4646-8f7c-3e6b3a53c831</v>
    <v>536870912</v>
    <v>1</v>
    <v>30</v>
    <v>31</v>
    <v>United Kingdom</v>
    <v>4</v>
    <v>5</v>
    <v>Map</v>
    <v>6</v>
    <v>32</v>
    <v>GB</v>
    <v>20</v>
    <v>21</v>
    <v>22</v>
    <v>23</v>
    <v>24</v>
    <v>0</v>
    <v>25</v>
    <v>26</v>
    <v>27</v>
    <v>GBP</v>
    <v>The United Kingdom of Great Britain and Northern Ireland, commonly known as the United Kingdom or Britain, is a country in northwestern Europe, off the coast of the continental mainland. It comprises England, Scotland, Wales and Northern ...</v>
    <v>28</v>
    <v>29</v>
    <v>30</v>
    <v>31</v>
    <v>32</v>
    <v>33</v>
    <v>34</v>
    <v>35</v>
    <v>36</v>
    <v>37</v>
    <v>0</v>
    <v>40</v>
    <v>41</v>
    <v>42</v>
    <v>43</v>
    <v>44</v>
    <v>45</v>
    <v>United Kingdom</v>
    <v>God Save the King</v>
    <v>46</v>
    <v>United Kingdom of Great Britain and Northern Ireland</v>
    <v>47</v>
    <v>48</v>
    <v>49</v>
    <v>50</v>
    <v>51</v>
    <v>52</v>
    <v>53</v>
    <v>54</v>
    <v>55</v>
    <v>56</v>
    <v>57</v>
    <v>61</v>
    <v>62</v>
    <v>63</v>
    <v>64</v>
    <v>65</v>
    <v>United Kingdom</v>
    <v>66</v>
    <v>mdp/vdpid/242</v>
  </rv>
  <rv s="8">
    <v>9</v>
    <v>6</v>
  </rv>
  <rv s="0">
    <v>536870912</v>
    <v>Madrid</v>
    <v>a497c067-c4c6-4bf4-9a5d-34fd30589bda</v>
    <v>en-GB</v>
    <v>Map</v>
  </rv>
  <rv s="0">
    <v>536870912</v>
    <v>Community of Madrid</v>
    <v>854c08ed-f6d7-c812-1a3f-46928ae0597e</v>
    <v>en-GB</v>
    <v>Map</v>
  </rv>
  <rv s="1">
    <fb>604.45510000000002</fb>
    <v>8</v>
  </rv>
  <rv s="0">
    <v>536870912</v>
    <v>Spain</v>
    <v>1baf9d59-f443-e9f4-6e49-de048a073e3f</v>
    <v>en-GB</v>
    <v>Map</v>
  </rv>
  <rv s="2">
    <v>3</v>
    <v>6</v>
    <v>41</v>
    <v>7</v>
    <v>0</v>
    <v>Image of Madrid</v>
  </rv>
  <rv s="1">
    <fb>40.416944444444397</fb>
    <v>9</v>
  </rv>
  <rv s="0">
    <v>805306368</v>
    <v>José Luis Martínez-Almeida (Mayor)</v>
    <v>d059f89e-9389-5fff-d365-894d7aefd20e</v>
    <v>en-GB</v>
    <v>Generic</v>
  </rv>
  <rv s="3">
    <v>6</v>
  </rv>
  <rv s="4">
    <v>https://www.bing.com/search?q=madrid+spain&amp;form=skydnc</v>
    <v>Learn more on Bing</v>
  </rv>
  <rv s="1">
    <fb>-3.70333333333333</fb>
    <v>9</v>
  </rv>
  <rv s="1">
    <fb>3477497</fb>
    <v>8</v>
  </rv>
  <rv s="3">
    <v>7</v>
  </rv>
  <rv s="9">
    <v>#VALUE!</v>
    <v>en-GB</v>
    <v>a497c067-c4c6-4bf4-9a5d-34fd30589bda</v>
    <v>536870912</v>
    <v>1</v>
    <v>42</v>
    <v>43</v>
    <v>Madrid</v>
    <v>4</v>
    <v>5</v>
    <v>Map</v>
    <v>6</v>
    <v>44</v>
    <v>70</v>
    <v>71</v>
    <v>72</v>
    <v>Madrid is the capital and largest city of Spain. It had a population of over 3.4 million in the city proper in 2025, and a metropolitan area population of approximately 6.8 million. Madrid is the second-largest city in the European Union, after ...</v>
    <v>73</v>
    <v>74</v>
    <v>76</v>
    <v>77</v>
    <v>78</v>
    <v>Madrid</v>
    <v>79</v>
    <v>80</v>
    <v>Madrid</v>
    <v>mdp/vdpid/5669357583933112321</v>
  </rv>
  <rv s="1">
    <fb>0.52577247440306896</fb>
    <v>33</v>
  </rv>
  <rv s="1">
    <fb>505990</fb>
    <v>8</v>
  </rv>
  <rv s="1">
    <fb>196000</fb>
    <v>8</v>
  </rv>
  <rv s="1">
    <fb>7.9</fb>
    <v>34</v>
  </rv>
  <rv s="1">
    <fb>34</fb>
    <v>35</v>
  </rv>
  <rv s="1">
    <fb>244002.18</fb>
    <v>8</v>
  </rv>
  <rv s="1">
    <fb>110.96151904206</fb>
    <v>36</v>
  </rv>
  <rv s="1">
    <fb>6.9953624171701497E-3</fb>
    <v>33</v>
  </rv>
  <rv s="1">
    <fb>5355.9870055822103</fb>
    <v>8</v>
  </rv>
  <rv s="1">
    <fb>1.26</fb>
    <v>34</v>
  </rv>
  <rv s="1">
    <fb>0.36936209528965797</fb>
    <v>33</v>
  </rv>
  <rv s="1">
    <fb>72.955546118337793</fb>
    <v>37</v>
  </rv>
  <rv s="1">
    <fb>1.26</fb>
    <v>38</v>
  </rv>
  <rv s="1">
    <fb>1394116310768.6299</fb>
    <v>39</v>
  </rv>
  <rv s="1">
    <fb>1.0271029</fb>
    <v>33</v>
  </rv>
  <rv s="1">
    <fb>0.88853009999999999</fb>
    <v>33</v>
  </rv>
  <rv s="2">
    <v>4</v>
    <v>6</v>
    <v>46</v>
    <v>7</v>
    <v>0</v>
    <v>Image of Spain</v>
  </rv>
  <rv s="1">
    <fb>2.5</fb>
    <v>37</v>
  </rv>
  <rv s="0">
    <v>805306368</v>
    <v>Felipe VI (Monarch)</v>
    <v>ec86fb82-ddbc-286a-d1a7-3644682c1efc</v>
    <v>en-GB</v>
    <v>Generic</v>
  </rv>
  <rv s="0">
    <v>805306368</v>
    <v>Pedro Sánchez (Prime minister)</v>
    <v>9e0d6cf3-f466-7b6f-0a92-aa23020fc120</v>
    <v>en-GB</v>
    <v>Generic</v>
  </rv>
  <rv s="3">
    <v>8</v>
  </rv>
  <rv s="4">
    <v>https://www.bing.com/search?q=spain&amp;form=skydnc</v>
    <v>Learn more on Bing</v>
  </rv>
  <rv s="1">
    <fb>83.334146341463395</fb>
    <v>37</v>
  </rv>
  <rv s="1">
    <fb>797285840000</fb>
    <v>39</v>
  </rv>
  <rv s="1">
    <fb>4</fb>
    <v>37</v>
  </rv>
  <rv s="1">
    <fb>5.6</fb>
    <v>38</v>
  </rv>
  <rv s="3">
    <v>9</v>
  </rv>
  <rv s="1">
    <fb>0.24229018520000001</fb>
    <v>33</v>
  </rv>
  <rv s="1">
    <fb>3.8723000000000001</fb>
    <v>34</v>
  </rv>
  <rv s="1">
    <fb>47336448</fb>
    <v>8</v>
  </rv>
  <rv s="1">
    <fb>0.23399999999999999</fb>
    <v>33</v>
  </rv>
  <rv s="1">
    <fb>0.254</fb>
    <v>33</v>
  </rv>
  <rv s="1">
    <fb>0.41</fb>
    <v>33</v>
  </rv>
  <rv s="1">
    <fb>2.1000000000000001E-2</fb>
    <v>33</v>
  </rv>
  <rv s="1">
    <fb>6.2E-2</fb>
    <v>33</v>
  </rv>
  <rv s="1">
    <fb>0.122</fb>
    <v>33</v>
  </rv>
  <rv s="1">
    <fb>0.17199999999999999</fb>
    <v>33</v>
  </rv>
  <rv s="1">
    <fb>0.57492000579834002</fb>
    <v>33</v>
  </rv>
  <rv s="0">
    <v>536870912</v>
    <v>Andalusia</v>
    <v>b009454b-b921-1477-fbf3-ea4c66d409b5</v>
    <v>en-GB</v>
    <v>Map</v>
  </rv>
  <rv s="0">
    <v>536870912</v>
    <v>Catalonia</v>
    <v>54afd4ed-d6c4-c6c9-2f8d-10440795b196</v>
    <v>en-GB</v>
    <v>Map</v>
  </rv>
  <rv s="0">
    <v>536870912</v>
    <v>Valencian Community</v>
    <v>d1a45f13-aca9-6854-cb23-92573a279216</v>
    <v>en-GB</v>
    <v>Map</v>
  </rv>
  <rv s="0">
    <v>536870912</v>
    <v>Galicia</v>
    <v>70c91f08-f55c-f98a-047e-aa9228ed4253</v>
    <v>en-GB</v>
    <v>Map</v>
  </rv>
  <rv s="0">
    <v>536870912</v>
    <v>Castile and León</v>
    <v>7fc8f34d-7f31-b8c6-34d4-545cb3920adf</v>
    <v>en-GB</v>
    <v>Map</v>
  </rv>
  <rv s="0">
    <v>536870912</v>
    <v>Basque Country</v>
    <v>27cbb013-d521-0f66-7c87-67bad92e92f5</v>
    <v>en-GB</v>
    <v>Map</v>
  </rv>
  <rv s="0">
    <v>536870912</v>
    <v>Canary Islands</v>
    <v>e5f4f633-d27e-9012-be27-a85d7ed21999</v>
    <v>en-GB</v>
    <v>Map</v>
  </rv>
  <rv s="0">
    <v>536870912</v>
    <v>Castilla–La Mancha</v>
    <v>1e79c598-5619-e707-75d9-40410db3c0b2</v>
    <v>en-GB</v>
    <v>Map</v>
  </rv>
  <rv s="0">
    <v>536870912</v>
    <v>Region of Murcia</v>
    <v>e697a468-5c9d-9a42-68ac-b04781a55abd</v>
    <v>en-GB</v>
    <v>Map</v>
  </rv>
  <rv s="0">
    <v>536870912</v>
    <v>Aragon</v>
    <v>66482df7-7a8d-eb53-1b74-7702eb8f6ab7</v>
    <v>en-GB</v>
    <v>Map</v>
  </rv>
  <rv s="0">
    <v>536870912</v>
    <v>Asturias</v>
    <v>6880b28a-27ed-46a3-3b3f-93553df34103</v>
    <v>en-GB</v>
    <v>Map</v>
  </rv>
  <rv s="0">
    <v>536870912</v>
    <v>Extremadura</v>
    <v>60c245e4-f9c9-d637-1ff7-50148c20166f</v>
    <v>en-GB</v>
    <v>Map</v>
  </rv>
  <rv s="0">
    <v>536870912</v>
    <v>Navarre</v>
    <v>bd2c46e0-0dec-2a95-cf06-e23728a2a0ed</v>
    <v>en-GB</v>
    <v>Map</v>
  </rv>
  <rv s="0">
    <v>536870912</v>
    <v>Cantabria</v>
    <v>ff0ffbe3-172a-ecd8-17cd-6f2f89c9d0dd</v>
    <v>en-GB</v>
    <v>Map</v>
  </rv>
  <rv s="0">
    <v>536870912</v>
    <v>La Rioja</v>
    <v>c27fd34e-d1ab-5145-cc6e-9d85b07f919e</v>
    <v>en-GB</v>
    <v>Map</v>
  </rv>
  <rv s="0">
    <v>536870912</v>
    <v>Ceuta</v>
    <v>4575b2d9-4933-9d93-b84d-3080054b3dda</v>
    <v>en-GB</v>
    <v>Map</v>
  </rv>
  <rv s="0">
    <v>536870912</v>
    <v>Melilla</v>
    <v>a67b3afb-47dd-d884-afd6-0794c4de12ba</v>
    <v>en-GB</v>
    <v>Map</v>
  </rv>
  <rv s="3">
    <v>10</v>
  </rv>
  <rv s="1">
    <fb>0.14248211393678101</fb>
    <v>33</v>
  </rv>
  <rv s="1">
    <fb>0.47</fb>
    <v>33</v>
  </rv>
  <rv s="1">
    <fb>0.13958999633789099</fb>
    <v>40</v>
  </rv>
  <rv s="1">
    <fb>37927409</fb>
    <v>8</v>
  </rv>
  <rv s="7">
    <v>#VALUE!</v>
    <v>en-GB</v>
    <v>1baf9d59-f443-e9f4-6e49-de048a073e3f</v>
    <v>536870912</v>
    <v>1</v>
    <v>49</v>
    <v>31</v>
    <v>Spain</v>
    <v>4</v>
    <v>5</v>
    <v>Map</v>
    <v>6</v>
    <v>50</v>
    <v>ES</v>
    <v>82</v>
    <v>83</v>
    <v>84</v>
    <v>85</v>
    <v>86</v>
    <v>69</v>
    <v>87</v>
    <v>88</v>
    <v>89</v>
    <v>EUR</v>
    <v>Spain, officially the Kingdom of Spain, is a country in Southern and Western Europe with territories in North Africa. Featuring the southernmost point of continental Europe, it is the largest country in Southern Europe and the fourth-most ...</v>
    <v>90</v>
    <v>91</v>
    <v>92</v>
    <v>93</v>
    <v>94</v>
    <v>95</v>
    <v>96</v>
    <v>97</v>
    <v>98</v>
    <v>99</v>
    <v>69</v>
    <v>102</v>
    <v>103</v>
    <v>104</v>
    <v>105</v>
    <v>106</v>
    <v>107</v>
    <v>Spain</v>
    <v>Marcha Real</v>
    <v>108</v>
    <v>Reino de España</v>
    <v>109</v>
    <v>110</v>
    <v>111</v>
    <v>112</v>
    <v>113</v>
    <v>114</v>
    <v>115</v>
    <v>116</v>
    <v>117</v>
    <v>118</v>
    <v>119</v>
    <v>137</v>
    <v>138</v>
    <v>80</v>
    <v>139</v>
    <v>140</v>
    <v>Spain</v>
    <v>141</v>
    <v>mdp/vdpid/217</v>
  </rv>
  <rv s="0">
    <v>536870912</v>
    <v>Lisbon</v>
    <v>9d006cb5-bff4-48b4-9c83-443eaf418b11</v>
    <v>en-GB</v>
    <v>Map</v>
  </rv>
  <rv s="0">
    <v>536870912</v>
    <v>Lisbon District</v>
    <v>9aabe4c9-f2ff-745a-22b7-741589d147d3</v>
    <v>en-GB</v>
    <v>Map</v>
  </rv>
  <rv s="1">
    <fb>100.05</fb>
    <v>8</v>
  </rv>
  <rv s="0">
    <v>536870912</v>
    <v>Portugal</v>
    <v>9e917e65-c588-a0b7-f336-52fc6b5b2052</v>
    <v>en-GB</v>
    <v>Map</v>
  </rv>
  <rv s="2">
    <v>5</v>
    <v>6</v>
    <v>51</v>
    <v>7</v>
    <v>0</v>
    <v>Image of Lisbon</v>
  </rv>
  <rv s="4">
    <v>https://www.bing.com/search?q=lisbon+portugal&amp;form=skydnc</v>
    <v>Learn more on Bing</v>
  </rv>
  <rv s="1">
    <fb>548703</fb>
    <v>8</v>
  </rv>
  <rv s="3">
    <v>11</v>
  </rv>
  <rv s="10">
    <v>#VALUE!</v>
    <v>en-GB</v>
    <v>9d006cb5-bff4-48b4-9c83-443eaf418b11</v>
    <v>536870912</v>
    <v>1</v>
    <v>52</v>
    <v>53</v>
    <v>Lisbon</v>
    <v>13</v>
    <v>5</v>
    <v>Map</v>
    <v>6</v>
    <v>44</v>
    <v>144</v>
    <v>145</v>
    <v>146</v>
    <v>Lisbon is the capital and most populous city of Portugal, with an estimated population of 658,236 as of 2025, within its administrative limits and 3,353,000 within the metropolis, as of 2025. The city lies on the Atlantic Ocean in the western ...</v>
    <v>147</v>
    <v>148</v>
    <v>Lisbon</v>
    <v>149</v>
    <v>150</v>
    <v>Lisbon</v>
    <v>mdp/vdpid/161498680</v>
  </rv>
  <rv s="1">
    <fb>0.39452940398253294</fb>
    <v>33</v>
  </rv>
  <rv s="1">
    <fb>92225</fb>
    <v>8</v>
  </rv>
  <rv s="1">
    <fb>52000</fb>
    <v>8</v>
  </rv>
  <rv s="1">
    <fb>8.5</fb>
    <v>34</v>
  </rv>
  <rv s="1">
    <fb>351</fb>
    <v>35</v>
  </rv>
  <rv s="1">
    <fb>48741.764000000003</fb>
    <v>8</v>
  </rv>
  <rv s="1">
    <fb>110.624358614714</fb>
    <v>36</v>
  </rv>
  <rv s="1">
    <fb>3.3817841004612497E-3</fb>
    <v>33</v>
  </rv>
  <rv s="1">
    <fb>4662.6007998029399</fb>
    <v>8</v>
  </rv>
  <rv s="1">
    <fb>1.38</fb>
    <v>34</v>
  </rv>
  <rv s="1">
    <fb>0.34611423825368903</fb>
    <v>33</v>
  </rv>
  <rv s="1">
    <fb>77.024122555839</fb>
    <v>37</v>
  </rv>
  <rv s="1">
    <fb>1.54</fb>
    <v>38</v>
  </rv>
  <rv s="1">
    <fb>237686075634.698</fb>
    <v>39</v>
  </rv>
  <rv s="1">
    <fb>1.0618313000000001</fb>
    <v>33</v>
  </rv>
  <rv s="1">
    <fb>0.63935809999999993</fb>
    <v>33</v>
  </rv>
  <rv s="2">
    <v>6</v>
    <v>6</v>
    <v>55</v>
    <v>7</v>
    <v>0</v>
    <v>Image of Portugal</v>
  </rv>
  <rv s="1">
    <fb>3.1</fb>
    <v>37</v>
  </rv>
  <rv s="0">
    <v>805306368</v>
    <v>António José Seguro (President)</v>
    <v>24efbbd4-f1fc-b77d-a6f3-f4c2f2f26a7e</v>
    <v>en-GB</v>
    <v>Generic</v>
  </rv>
  <rv s="0">
    <v>805306368</v>
    <v>Luís Montenegro (Prime minister)</v>
    <v>5c7007c4-e5b4-49ae-8ea1-4431b1a749e8</v>
    <v>en-GB</v>
    <v>Generic</v>
  </rv>
  <rv s="3">
    <v>12</v>
  </rv>
  <rv s="4">
    <v>https://www.bing.com/search?q=portugal&amp;form=skydnc</v>
    <v>Learn more on Bing</v>
  </rv>
  <rv s="1">
    <fb>81.3243902439024</fb>
    <v>37</v>
  </rv>
  <rv s="1">
    <fb>61933604857.411003</fb>
    <v>39</v>
  </rv>
  <rv s="1">
    <fb>8</fb>
    <v>37</v>
  </rv>
  <rv s="1">
    <fb>3.78</fb>
    <v>38</v>
  </rv>
  <rv s="3">
    <v>13</v>
  </rv>
  <rv s="1">
    <fb>0.27650697260000001</fb>
    <v>33</v>
  </rv>
  <rv s="1">
    <fb>5.1239999999999997</fb>
    <v>34</v>
  </rv>
  <rv s="1">
    <fb>10194277</fb>
    <v>8</v>
  </rv>
  <rv s="1">
    <fb>0.221</fb>
    <v>33</v>
  </rv>
  <rv s="1">
    <fb>0.26700000000000002</fb>
    <v>33</v>
  </rv>
  <rv s="1">
    <fb>0.41600000000000004</fb>
    <v>33</v>
  </rv>
  <rv s="1">
    <fb>2.7000000000000003E-2</fb>
    <v>33</v>
  </rv>
  <rv s="1">
    <fb>7.400000000000001E-2</fb>
    <v>33</v>
  </rv>
  <rv s="1">
    <fb>0.124</fb>
    <v>33</v>
  </rv>
  <rv s="1">
    <fb>0.16500000000000001</fb>
    <v>33</v>
  </rv>
  <rv s="1">
    <fb>0.58811000823974602</fb>
    <v>33</v>
  </rv>
  <rv s="0">
    <v>536870912</v>
    <v>Leiria District</v>
    <v>1e45c3ae-38a6-3ec3-3187-2e72c0cad027</v>
    <v>en-GB</v>
    <v>Map</v>
  </rv>
  <rv s="0">
    <v>536870912</v>
    <v>Santarém District</v>
    <v>31ed3d3b-1669-48e6-9f45-7dff6e48107b</v>
    <v>en-GB</v>
    <v>Map</v>
  </rv>
  <rv s="0">
    <v>536870912</v>
    <v>Setúbal District</v>
    <v>2443fa57-ba7a-ca6f-6988-b7bb998c209d</v>
    <v>en-GB</v>
    <v>Map</v>
  </rv>
  <rv s="0">
    <v>536870912</v>
    <v>Beja District</v>
    <v>57132a4f-ab86-49cc-9a10-eea78fe194c6</v>
    <v>en-GB</v>
    <v>Map</v>
  </rv>
  <rv s="0">
    <v>536870912</v>
    <v>Faro</v>
    <v>0f961e40-6a20-4ce7-9c8b-3c9484a39b31</v>
    <v>en-GB</v>
    <v>Map</v>
  </rv>
  <rv s="0">
    <v>536870912</v>
    <v>Évora District</v>
    <v>9f2c1154-ba9c-42db-b07d-6ac93b22f847</v>
    <v>en-GB</v>
    <v>Map</v>
  </rv>
  <rv s="0">
    <v>536870912</v>
    <v>Portalegre District</v>
    <v>0509a564-38fa-4a46-85bd-79ea9cfb105b</v>
    <v>en-GB</v>
    <v>Map</v>
  </rv>
  <rv s="0">
    <v>536870912</v>
    <v>Castelo Branco District</v>
    <v>fb4769a8-e791-44cf-b415-49b116c2d850</v>
    <v>en-GB</v>
    <v>Map</v>
  </rv>
  <rv s="0">
    <v>536870912</v>
    <v>Guarda District</v>
    <v>a6ab4e89-16d3-c736-2651-53af26e5c9fb</v>
    <v>en-GB</v>
    <v>Map</v>
  </rv>
  <rv s="0">
    <v>536870912</v>
    <v>Coimbra District</v>
    <v>eaabde58-df44-d3f2-fcaf-2eb0b0c892ca</v>
    <v>en-GB</v>
    <v>Map</v>
  </rv>
  <rv s="0">
    <v>536870912</v>
    <v>Aveiro District</v>
    <v>2448fddc-7ab4-4061-c990-7ee0e882b83f</v>
    <v>en-GB</v>
    <v>Map</v>
  </rv>
  <rv s="0">
    <v>536870912</v>
    <v>Viseu District</v>
    <v>4af2c91e-a2d9-03c8-4bcc-d0e611b7a836</v>
    <v>en-GB</v>
    <v>Map</v>
  </rv>
  <rv s="0">
    <v>536870912</v>
    <v>Bragança District</v>
    <v>511e9c5a-156c-4018-b440-d68a04fdd311</v>
    <v>en-GB</v>
    <v>Map</v>
  </rv>
  <rv s="0">
    <v>536870912</v>
    <v>Vila Real District</v>
    <v>16491095-1ede-45bc-b4f9-d0b768b902b4</v>
    <v>en-GB</v>
    <v>Map</v>
  </rv>
  <rv s="0">
    <v>536870912</v>
    <v>Porto District</v>
    <v>ab024f06-dfa0-f5d5-2ace-323a59e1c03f</v>
    <v>en-GB</v>
    <v>Map</v>
  </rv>
  <rv s="0">
    <v>536870912</v>
    <v>Braga District</v>
    <v>bf9b0bf5-80ec-1d9e-e2bb-f15cfff91b3f</v>
    <v>en-GB</v>
    <v>Map</v>
  </rv>
  <rv s="0">
    <v>536870912</v>
    <v>Viana do Castelo District</v>
    <v>e82c5675-25b8-35f8-dd22-1d162bbc45bd</v>
    <v>en-GB</v>
    <v>Map</v>
  </rv>
  <rv s="0">
    <v>536870912</v>
    <v>Madeira</v>
    <v>fd1c338d-a716-e095-102a-5ac3106ddd68</v>
    <v>en-GB</v>
    <v>Map</v>
  </rv>
  <rv s="0">
    <v>536870912</v>
    <v>Azores</v>
    <v>162558d5-afd4-4b00-9d00-54ad16880f8b</v>
    <v>en-GB</v>
    <v>Map</v>
  </rv>
  <rv s="3">
    <v>14</v>
  </rv>
  <rv s="1">
    <fb>0.227551770073532</fb>
    <v>33</v>
  </rv>
  <rv s="3">
    <v>15</v>
  </rv>
  <rv s="1">
    <fb>0.39799999999999996</fb>
    <v>33</v>
  </rv>
  <rv s="1">
    <fb>6.33400011062622E-2</fb>
    <v>40</v>
  </rv>
  <rv s="1">
    <fb>6753579</fb>
    <v>8</v>
  </rv>
  <rv s="7">
    <v>#VALUE!</v>
    <v>en-GB</v>
    <v>9e917e65-c588-a0b7-f336-52fc6b5b2052</v>
    <v>536870912</v>
    <v>1</v>
    <v>58</v>
    <v>31</v>
    <v>Portugal</v>
    <v>4</v>
    <v>5</v>
    <v>Map</v>
    <v>6</v>
    <v>59</v>
    <v>PT</v>
    <v>152</v>
    <v>153</v>
    <v>154</v>
    <v>155</v>
    <v>156</v>
    <v>143</v>
    <v>157</v>
    <v>158</v>
    <v>159</v>
    <v>EUR</v>
    <v>Portugal, officially the Portuguese Republic, is a country in Southwestern Europe. Mainland Portugal is located on the southwestern portion of the Iberian Peninsula, and bordered by Spain to the north and east. Portugal also includes the ...</v>
    <v>160</v>
    <v>161</v>
    <v>162</v>
    <v>163</v>
    <v>164</v>
    <v>165</v>
    <v>166</v>
    <v>167</v>
    <v>168</v>
    <v>169</v>
    <v>143</v>
    <v>172</v>
    <v>173</v>
    <v>174</v>
    <v>175</v>
    <v>176</v>
    <v>177</v>
    <v>Portugal</v>
    <v>A Portuguesa</v>
    <v>178</v>
    <v>Portugalská republika</v>
    <v>179</v>
    <v>180</v>
    <v>181</v>
    <v>182</v>
    <v>183</v>
    <v>184</v>
    <v>185</v>
    <v>186</v>
    <v>187</v>
    <v>188</v>
    <v>189</v>
    <v>209</v>
    <v>210</v>
    <v>211</v>
    <v>212</v>
    <v>213</v>
    <v>Portugal</v>
    <v>214</v>
    <v>mdp/vdpid/193</v>
  </rv>
  <rv s="0">
    <v>536870912</v>
    <v>Berlin</v>
    <v>42784943-7c23-7672-5527-06f89b965cdf</v>
    <v>en-GB</v>
    <v>Map</v>
  </rv>
  <rv s="1">
    <fb>891.12</fb>
    <v>8</v>
  </rv>
  <rv s="0">
    <v>536870912</v>
    <v>Germany</v>
    <v>75c62d8e-1449-4e4d-b188-d9e88f878dd9</v>
    <v>en-GB</v>
    <v>Map</v>
  </rv>
  <rv s="1">
    <fb>1794936</fb>
    <v>8</v>
  </rv>
  <rv s="1">
    <fb>1868905</fb>
    <v>8</v>
  </rv>
  <rv s="2">
    <v>7</v>
    <v>6</v>
    <v>60</v>
    <v>7</v>
    <v>0</v>
    <v>Image of Berlin</v>
  </rv>
  <rv s="0">
    <v>805306368</v>
    <v>Kai Wegner (Mayor)</v>
    <v>f51751ee-0e96-d0b0-90f4-8de4cf99cc3e</v>
    <v>en-GB</v>
    <v>Generic</v>
  </rv>
  <rv s="3">
    <v>16</v>
  </rv>
  <rv s="4">
    <v>https://www.bing.com/search?q=berlin+germany&amp;form=skydnc</v>
    <v>Learn more on Bing</v>
  </rv>
  <rv s="3">
    <v>17</v>
  </rv>
  <rv s="1">
    <fb>1.83</fb>
    <v>34</v>
  </rv>
  <rv s="1">
    <fb>3700577</fb>
    <v>8</v>
  </rv>
  <rv s="3">
    <v>18</v>
  </rv>
  <rv s="11">
    <v>#VALUE!</v>
    <v>en-GB</v>
    <v>42784943-7c23-7672-5527-06f89b965cdf</v>
    <v>536870912</v>
    <v>1</v>
    <v>63</v>
    <v>64</v>
    <v>Berlin</v>
    <v>4</v>
    <v>5</v>
    <v>Map</v>
    <v>6</v>
    <v>65</v>
    <v>DE-BE</v>
    <v>217</v>
    <v>218</v>
    <v>Berlin is the capital and largest city of Germany. With 3.7 million inhabitants, it has the highest population within its city limits of any city in the European Union. The metropolis is also one of the states of Germany, being the ...</v>
    <v>219</v>
    <v>220</v>
    <v>221</v>
    <v>223</v>
    <v>224</v>
    <v>Berlin</v>
    <v>225</v>
    <v>226</v>
    <v>227</v>
    <v>228</v>
    <v>Berlin</v>
    <v>mdp/vdpid/7017957146650214401</v>
  </rv>
  <rv s="1">
    <fb>0.47678612319670299</fb>
    <v>33</v>
  </rv>
  <rv s="1">
    <fb>357587.77</fb>
    <v>8</v>
  </rv>
  <rv s="1">
    <fb>180000</fb>
    <v>8</v>
  </rv>
  <rv s="1">
    <fb>9.5</fb>
    <v>34</v>
  </rv>
  <rv s="1">
    <fb>49</fb>
    <v>35</v>
  </rv>
  <rv s="1">
    <fb>727972.84</fb>
    <v>8</v>
  </rv>
  <rv s="1">
    <fb>112.854887342124</fb>
    <v>36</v>
  </rv>
  <rv s="1">
    <fb>1.4456670146976E-2</fb>
    <v>33</v>
  </rv>
  <rv s="1">
    <fb>7035.4829747167596</fb>
    <v>8</v>
  </rv>
  <rv s="1">
    <fb>1.56</fb>
    <v>34</v>
  </rv>
  <rv s="1">
    <fb>0.326912067781085</fb>
    <v>33</v>
  </rv>
  <rv s="1">
    <fb>78.862551056754995</fb>
    <v>37</v>
  </rv>
  <rv s="1">
    <fb>1.39</fb>
    <v>38</v>
  </rv>
  <rv s="1">
    <fb>3845630030823.52</fb>
    <v>39</v>
  </rv>
  <rv s="1">
    <fb>1.0402236</fb>
    <v>33</v>
  </rv>
  <rv s="1">
    <fb>0.70246649999999999</fb>
    <v>33</v>
  </rv>
  <rv s="2">
    <v>8</v>
    <v>6</v>
    <v>67</v>
    <v>7</v>
    <v>0</v>
    <v>Image of Germany</v>
  </rv>
  <rv s="0">
    <v>805306368</v>
    <v>Frank-Walter Steinmeier (President)</v>
    <v>a6d595f9-116c-57de-2b35-48e9bde9f83d</v>
    <v>en-GB</v>
    <v>Generic</v>
  </rv>
  <rv s="0">
    <v>805306368</v>
    <v>Friedrich Merz (Chancellor)</v>
    <v>0e338c7c-b09e-24e5-22a0-6b178b819be9</v>
    <v>en-GB</v>
    <v>Generic</v>
  </rv>
  <rv s="3">
    <v>19</v>
  </rv>
  <rv s="4">
    <v>https://www.bing.com/search?q=germany&amp;form=skydnc</v>
    <v>Learn more on Bing</v>
  </rv>
  <rv s="1">
    <fb>80.892682926829295</fb>
    <v>37</v>
  </rv>
  <rv s="1">
    <fb>2098173930000</fb>
    <v>39</v>
  </rv>
  <rv s="1">
    <fb>9.99</fb>
    <v>38</v>
  </rv>
  <rv s="1">
    <fb>0.12528421940000001</fb>
    <v>33</v>
  </rv>
  <rv s="1">
    <fb>4.2488000000000001</fb>
    <v>34</v>
  </rv>
  <rv s="1">
    <fb>84012284</fb>
    <v>8</v>
  </rv>
  <rv s="1">
    <fb>0.22800000000000001</fb>
    <v>33</v>
  </rv>
  <rv s="1">
    <fb>0.24600000000000002</fb>
    <v>33</v>
  </rv>
  <rv s="1">
    <fb>0.39600000000000002</fb>
    <v>33</v>
  </rv>
  <rv s="1">
    <fb>2.8999999999999998E-2</fb>
    <v>33</v>
  </rv>
  <rv s="1">
    <fb>7.5999999999999998E-2</fb>
    <v>33</v>
  </rv>
  <rv s="1">
    <fb>0.128</fb>
    <v>33</v>
  </rv>
  <rv s="1">
    <fb>0.17100000000000001</fb>
    <v>33</v>
  </rv>
  <rv s="1">
    <fb>0.60811000823974604</fb>
    <v>33</v>
  </rv>
  <rv s="0">
    <v>536870912</v>
    <v>Baden-Württemberg</v>
    <v>e4767d1d-15fd-a8bd-1fcd-f8214d3c189f</v>
    <v>en-GB</v>
    <v>Map</v>
  </rv>
  <rv s="0">
    <v>536870912</v>
    <v>Bavaria</v>
    <v>e4f7e69f-e1bc-189a-d23d-b2ecee6a88d5</v>
    <v>en-GB</v>
    <v>Map</v>
  </rv>
  <rv s="0">
    <v>536870912</v>
    <v>Bremen</v>
    <v>70a6262d-6ded-6a1a-8a3d-e24538d50a05</v>
    <v>en-GB</v>
    <v>Map</v>
  </rv>
  <rv s="0">
    <v>536870912</v>
    <v>Hamburg</v>
    <v>0937ec8c-54f7-94c7-d7b8-0ea8c6cfce6f</v>
    <v>en-GB</v>
    <v>Map</v>
  </rv>
  <rv s="0">
    <v>536870912</v>
    <v>Mecklenburg-Vorpommern</v>
    <v>b0adc1b4-6fe2-3ad0-81e1-78c9ba53cedb</v>
    <v>en-GB</v>
    <v>Map</v>
  </rv>
  <rv s="0">
    <v>536870912</v>
    <v>Lower Saxony</v>
    <v>c91589e2-9db8-e9f2-b60d-1000c3502bc2</v>
    <v>en-GB</v>
    <v>Map</v>
  </rv>
  <rv s="0">
    <v>536870912</v>
    <v>North Rhine-Westphalia</v>
    <v>7192ac29-308b-9018-2da7-1d16b5afb233</v>
    <v>en-GB</v>
    <v>Map</v>
  </rv>
  <rv s="0">
    <v>536870912</v>
    <v>Rhineland-Palatinate</v>
    <v>b2634da1-26f3-4709-d63d-9f9489a33d9c</v>
    <v>en-GB</v>
    <v>Map</v>
  </rv>
  <rv s="0">
    <v>536870912</v>
    <v>Saarland</v>
    <v>077b3058-0078-d492-aee0-52b8d21ee39e</v>
    <v>en-GB</v>
    <v>Map</v>
  </rv>
  <rv s="0">
    <v>536870912</v>
    <v>Saxony</v>
    <v>db04ed86-d227-952f-dbae-2881e92d2d0a</v>
    <v>en-GB</v>
    <v>Map</v>
  </rv>
  <rv s="0">
    <v>536870912</v>
    <v>Saxony-Anhalt</v>
    <v>6af91c75-020d-7d63-0e2d-ab73f9f73280</v>
    <v>en-GB</v>
    <v>Map</v>
  </rv>
  <rv s="0">
    <v>536870912</v>
    <v>Schleswig-Holstein</v>
    <v>6dde426c-96c7-18bd-f4e1-b41b7575557a</v>
    <v>en-GB</v>
    <v>Map</v>
  </rv>
  <rv s="0">
    <v>536870912</v>
    <v>Brandenburg</v>
    <v>c841173c-24ae-1249-8be1-c2ff2ec02111</v>
    <v>en-GB</v>
    <v>Map</v>
  </rv>
  <rv s="0">
    <v>536870912</v>
    <v>Hesse</v>
    <v>90fbe078-3753-40db-ff12-40aa58e76c5f</v>
    <v>en-GB</v>
    <v>Map</v>
  </rv>
  <rv s="3">
    <v>20</v>
  </rv>
  <rv s="1">
    <fb>0.11505903952014901</fb>
    <v>33</v>
  </rv>
  <rv s="1">
    <fb>0.48799999999999999</fb>
    <v>33</v>
  </rv>
  <rv s="1">
    <fb>3.0429999828338602E-2</fb>
    <v>40</v>
  </rv>
  <rv s="1">
    <fb>64324835</fb>
    <v>8</v>
  </rv>
  <rv s="7">
    <v>#VALUE!</v>
    <v>en-GB</v>
    <v>75c62d8e-1449-4e4d-b188-d9e88f878dd9</v>
    <v>536870912</v>
    <v>1</v>
    <v>70</v>
    <v>31</v>
    <v>Germany</v>
    <v>4</v>
    <v>5</v>
    <v>Map</v>
    <v>6</v>
    <v>71</v>
    <v>DE</v>
    <v>230</v>
    <v>231</v>
    <v>232</v>
    <v>233</v>
    <v>234</v>
    <v>216</v>
    <v>235</v>
    <v>236</v>
    <v>237</v>
    <v>EUR</v>
    <v>Germany, officially the Federal Republic of Germany, is a country in Western and Central Europe. It lies between the Baltic Sea and the North Sea to the north with the Alps to the south. Its 16 constituent states have a total population of over ...</v>
    <v>238</v>
    <v>239</v>
    <v>240</v>
    <v>241</v>
    <v>242</v>
    <v>243</v>
    <v>244</v>
    <v>245</v>
    <v>246</v>
    <v>169</v>
    <v>216</v>
    <v>249</v>
    <v>250</v>
    <v>251</v>
    <v>252</v>
    <v>44</v>
    <v>253</v>
    <v>Germany</v>
    <v>national anthem of Germany</v>
    <v>225</v>
    <v>Bundesrepublik Deutschland</v>
    <v>254</v>
    <v>255</v>
    <v>256</v>
    <v>257</v>
    <v>258</v>
    <v>259</v>
    <v>260</v>
    <v>261</v>
    <v>262</v>
    <v>263</v>
    <v>264</v>
    <v>279</v>
    <v>280</v>
    <v>80</v>
    <v>281</v>
    <v>282</v>
    <v>Germany</v>
    <v>283</v>
    <v>mdp/vdpid/94</v>
  </rv>
  <rv s="0">
    <v>536870912</v>
    <v>Paris</v>
    <v>85584d24-2116-5b98-89f9-5714db931ac6</v>
    <v>en-GB</v>
    <v>Map</v>
  </rv>
  <rv s="0">
    <v>536870912</v>
    <v>Île-de-France</v>
    <v>ba200862-fc37-6d22-3434-c6e709faa507</v>
    <v>en-GB</v>
    <v>Map</v>
  </rv>
  <rv s="1">
    <fb>105.4</fb>
    <v>8</v>
  </rv>
  <rv s="0">
    <v>536870912</v>
    <v>France</v>
    <v>c7bfe2de-4f82-e23c-ae42-8544b5b5c0ea</v>
    <v>en-GB</v>
    <v>Map</v>
  </rv>
  <rv s="2">
    <v>9</v>
    <v>6</v>
    <v>72</v>
    <v>7</v>
    <v>0</v>
    <v>Image of Paris</v>
  </rv>
  <rv s="1">
    <fb>48.856666666666698</fb>
    <v>9</v>
  </rv>
  <rv s="0">
    <v>805306368</v>
    <v>Emmanuel Grégoire (Mayor)</v>
    <v>21e6ef7c-9e40-76a6-97de-7e79efde4b8f</v>
    <v>en-GB</v>
    <v>Generic</v>
  </rv>
  <rv s="3">
    <v>21</v>
  </rv>
  <rv s="4">
    <v>https://www.bing.com/search?q=paris+france&amp;form=skydnc</v>
    <v>Learn more on Bing</v>
  </rv>
  <rv s="1">
    <fb>2.35222222222222</fb>
    <v>9</v>
  </rv>
  <rv s="1">
    <fb>2047602</fb>
    <v>8</v>
  </rv>
  <rv s="9">
    <v>#VALUE!</v>
    <v>en-GB</v>
    <v>85584d24-2116-5b98-89f9-5714db931ac6</v>
    <v>536870912</v>
    <v>1</v>
    <v>73</v>
    <v>43</v>
    <v>Paris</v>
    <v>4</v>
    <v>5</v>
    <v>Map</v>
    <v>6</v>
    <v>74</v>
    <v>286</v>
    <v>287</v>
    <v>288</v>
    <v>Paris is the capital and largest city of France, with an estimated city population of 2.04 million in an area of 105.4 km², as of January 2026, and a metropolitan population of 13.3 million. Located on the river Seine in the centre of the ...</v>
    <v>289</v>
    <v>290</v>
    <v>292</v>
    <v>293</v>
    <v>294</v>
    <v>Paris</v>
    <v>295</v>
    <v>80</v>
    <v>Paris</v>
    <v>mdp/vdpid/7012570570818584578</v>
  </rv>
  <rv s="1">
    <fb>0.524475441661716</fb>
    <v>33</v>
  </rv>
  <rv s="1">
    <fb>643801</fb>
    <v>8</v>
  </rv>
  <rv s="1">
    <fb>307000</fb>
    <v>8</v>
  </rv>
  <rv s="1">
    <fb>11.3</fb>
    <v>34</v>
  </rv>
  <rv s="1">
    <fb>33</fb>
    <v>35</v>
  </rv>
  <rv s="1">
    <fb>303275.56800000003</fb>
    <v>8</v>
  </rv>
  <rv s="1">
    <fb>110.04856675289</fb>
    <v>36</v>
  </rv>
  <rv s="1">
    <fb>1.1082549228829199E-2</fb>
    <v>33</v>
  </rv>
  <rv s="1">
    <fb>6939.5214736692897</fb>
    <v>8</v>
  </rv>
  <rv s="1">
    <fb>1.88</fb>
    <v>34</v>
  </rv>
  <rv s="1">
    <fb>0.31233278442262596</fb>
    <v>33</v>
  </rv>
  <rv s="1">
    <fb>46.487970872236403</fb>
    <v>37</v>
  </rv>
  <rv s="1">
    <fb>2715518274227.4502</fb>
    <v>39</v>
  </rv>
  <rv s="1">
    <fb>1.0251076000000001</fb>
    <v>33</v>
  </rv>
  <rv s="1">
    <fb>0.65629000000000004</fb>
    <v>33</v>
  </rv>
  <rv s="2">
    <v>10</v>
    <v>6</v>
    <v>76</v>
    <v>7</v>
    <v>0</v>
    <v>Image of France</v>
  </rv>
  <rv s="1">
    <fb>3.4</fb>
    <v>37</v>
  </rv>
  <rv s="0">
    <v>805306368</v>
    <v>Emmanuel Macron (President)</v>
    <v>35be5a56-7a78-6352-b158-60da8f84c858</v>
    <v>en-GB</v>
    <v>Generic</v>
  </rv>
  <rv s="0">
    <v>805306368</v>
    <v>Sébastien Lecornu (Prime minister)</v>
    <v>e47a48ba-584f-b611-b461-996ec493e56d</v>
    <v>en-GB</v>
    <v>Generic</v>
  </rv>
  <rv s="3">
    <v>22</v>
  </rv>
  <rv s="4">
    <v>https://www.bing.com/search?q=france&amp;form=skydnc</v>
    <v>Learn more on Bing</v>
  </rv>
  <rv s="1">
    <fb>82.526829268292701</fb>
    <v>37</v>
  </rv>
  <rv s="1">
    <fb>2365950236659.3599</fb>
    <v>39</v>
  </rv>
  <rv s="1">
    <fb>11.16</fb>
    <v>38</v>
  </rv>
  <rv s="3">
    <v>23</v>
  </rv>
  <rv s="1">
    <fb>6.7968269799999995E-2</fb>
    <v>33</v>
  </rv>
  <rv s="1">
    <fb>3.2671999999999999</fb>
    <v>34</v>
  </rv>
  <rv s="1">
    <fb>68512806</fb>
    <v>8</v>
  </rv>
  <rv s="1">
    <fb>0.21899999999999997</fb>
    <v>33</v>
  </rv>
  <rv s="1">
    <fb>0.25800000000000001</fb>
    <v>33</v>
  </rv>
  <rv s="1">
    <fb>0.4</fb>
    <v>33</v>
  </rv>
  <rv s="1">
    <fb>3.2000000000000001E-2</fb>
    <v>33</v>
  </rv>
  <rv s="1">
    <fb>8.1000000000000003E-2</fb>
    <v>33</v>
  </rv>
  <rv s="1">
    <fb>0.13</fb>
    <v>33</v>
  </rv>
  <rv s="1">
    <fb>0.16899999999999998</fb>
    <v>33</v>
  </rv>
  <rv s="1">
    <fb>0.55125999450683605</fb>
    <v>33</v>
  </rv>
  <rv s="0">
    <v>536870912</v>
    <v>Centre-Val de Loire</v>
    <v>6aafd8c4-aba3-0388-62a3-d302e77f40c4</v>
    <v>en-GB</v>
    <v>Map</v>
  </rv>
  <rv s="0">
    <v>536870912</v>
    <v>Corsica</v>
    <v>7dae6ff4-03ba-2162-da4b-d4cf544ad43f</v>
    <v>en-GB</v>
    <v>Map</v>
  </rv>
  <rv s="0">
    <v>536870912</v>
    <v>Pays de la Loire</v>
    <v>a6129a88-a4cd-2b75-1a35-f5d0639f17ae</v>
    <v>en-GB</v>
    <v>Map</v>
  </rv>
  <rv s="0">
    <v>536870912</v>
    <v>Provence-Alpes-Côte d'Azur</v>
    <v>66cd1ae3-f633-45f9-93bd-73ca67bffb25</v>
    <v>en-GB</v>
    <v>Map</v>
  </rv>
  <rv s="0">
    <v>536870912</v>
    <v>Guadeloupe</v>
    <v>56b80aaa-d840-1a73-13ba-70eb9b61a642</v>
    <v>en-GB</v>
    <v>Map</v>
  </rv>
  <rv s="0">
    <v>536870912</v>
    <v>French Guiana</v>
    <v>328feb88-20d1-8674-1574-3ce8cc0bc9e9</v>
    <v>en-GB</v>
    <v>Map</v>
  </rv>
  <rv s="0">
    <v>536870912</v>
    <v>Martinique</v>
    <v>f245adef-ee09-9352-e265-2a287e5eadbe</v>
    <v>en-GB</v>
    <v>Map</v>
  </rv>
  <rv s="0">
    <v>536870912</v>
    <v>Mayotte</v>
    <v>545cc8bc-c211-076d-ee26-d2ff955eb394</v>
    <v>en-GB</v>
    <v>Map</v>
  </rv>
  <rv s="0">
    <v>536870912</v>
    <v>Réunion</v>
    <v>7d1fa0b0-e3d7-d903-d64d-489c03fd0a75</v>
    <v>en-GB</v>
    <v>Map</v>
  </rv>
  <rv s="0">
    <v>536870912</v>
    <v>French Polynesia</v>
    <v>340e15d5-6b74-8497-bbfa-4c1f323f5483</v>
    <v>en-GB</v>
    <v>Map</v>
  </rv>
  <rv s="0">
    <v>536870912</v>
    <v>French Southern and Antarctic Lands</v>
    <v>b9d52319-44ee-bf16-d95f-72397f26ce4a</v>
    <v>en-GB</v>
    <v>Map</v>
  </rv>
  <rv s="0">
    <v>536870912</v>
    <v>New Caledonia</v>
    <v>25b2aeab-b390-d01e-1f7f-90be767bd899</v>
    <v>en-GB</v>
    <v>Map</v>
  </rv>
  <rv s="0">
    <v>536870912</v>
    <v>Saint Barthélemy</v>
    <v>5c5081a9-306e-4f05-73a2-32b95a4b8600</v>
    <v>en-GB</v>
    <v>Map</v>
  </rv>
  <rv s="0">
    <v>536870912</v>
    <v>Collectivity of Saint Martin</v>
    <v>281a8fb2-1b63-4320-5d31-8f0fb46c4f1a</v>
    <v>en-GB</v>
    <v>Map</v>
  </rv>
  <rv s="0">
    <v>536870912</v>
    <v>Saint Pierre and Miquelon</v>
    <v>aa096cf4-a54e-cd44-7204-c28310ca40f4</v>
    <v>en-GB</v>
    <v>Map</v>
  </rv>
  <rv s="0">
    <v>536870912</v>
    <v>Wallis and Futuna</v>
    <v>db8aa235-58e4-9e3d-8799-6839f3d35025</v>
    <v>en-GB</v>
    <v>Map</v>
  </rv>
  <rv s="0">
    <v>536870912</v>
    <v>Grand Est</v>
    <v>e2f60e84-1701-6d84-e960-ba87138e3631</v>
    <v>en-GB</v>
    <v>Map</v>
  </rv>
  <rv s="0">
    <v>536870912</v>
    <v>Nouvelle-Aquitaine</v>
    <v>7955f423-af31-d2e0-f045-b14668178865</v>
    <v>en-GB</v>
    <v>Map</v>
  </rv>
  <rv s="0">
    <v>536870912</v>
    <v>Auvergne-Rhône-Alpes</v>
    <v>b53940d0-b739-faf5-78d1-93f189f878c9</v>
    <v>en-GB</v>
    <v>Map</v>
  </rv>
  <rv s="0">
    <v>536870912</v>
    <v>Bourgogne-Franche-Comté</v>
    <v>4bc8dff1-8d72-5341-f405-63c7be8c6672</v>
    <v>en-GB</v>
    <v>Map</v>
  </rv>
  <rv s="0">
    <v>536870912</v>
    <v>Occitania</v>
    <v>5105d172-dc70-689f-09ab-4163a747508a</v>
    <v>en-GB</v>
    <v>Map</v>
  </rv>
  <rv s="0">
    <v>536870912</v>
    <v>Hauts-de-France</v>
    <v>4eb2d0b0-8845-48d0-9343-9ba3e7fe81a0</v>
    <v>en-GB</v>
    <v>Map</v>
  </rv>
  <rv s="0">
    <v>536870912</v>
    <v>Clipperton Island</v>
    <v>15fb63fc-f501-7360-7d44-f26d1501209e</v>
    <v>en-GB</v>
    <v>Map</v>
  </rv>
  <rv s="3">
    <v>24</v>
  </rv>
  <rv s="1">
    <fb>0.24229980509910898</fb>
    <v>33</v>
  </rv>
  <rv s="3">
    <v>25</v>
  </rv>
  <rv s="1">
    <fb>0.60699999999999998</fb>
    <v>33</v>
  </rv>
  <rv s="1">
    <fb>8.4270000457763714E-2</fb>
    <v>40</v>
  </rv>
  <rv s="1">
    <fb>54123364</fb>
    <v>8</v>
  </rv>
  <rv s="7">
    <v>#VALUE!</v>
    <v>en-GB</v>
    <v>c7bfe2de-4f82-e23c-ae42-8544b5b5c0ea</v>
    <v>536870912</v>
    <v>1</v>
    <v>79</v>
    <v>31</v>
    <v>France</v>
    <v>4</v>
    <v>5</v>
    <v>Map</v>
    <v>6</v>
    <v>80</v>
    <v>FR</v>
    <v>297</v>
    <v>298</v>
    <v>299</v>
    <v>300</v>
    <v>301</v>
    <v>285</v>
    <v>302</v>
    <v>303</v>
    <v>304</v>
    <v>EUR</v>
    <v>France, officially the French Republic, is a country primarily located in Western Europe. Its overseas regions and territories include French Guiana in South America, Saint Pierre and Miquelon in the North Atlantic, the French West Indies, and ...</v>
    <v>305</v>
    <v>306</v>
    <v>307</v>
    <v>308</v>
    <v>242</v>
    <v>309</v>
    <v>310</v>
    <v>311</v>
    <v>312</v>
    <v>313</v>
    <v>285</v>
    <v>316</v>
    <v>317</v>
    <v>318</v>
    <v>319</v>
    <v>176</v>
    <v>320</v>
    <v>France</v>
    <v>La Marseillaise</v>
    <v>321</v>
    <v>République française</v>
    <v>322</v>
    <v>323</v>
    <v>324</v>
    <v>325</v>
    <v>326</v>
    <v>327</v>
    <v>328</v>
    <v>329</v>
    <v>330</v>
    <v>331</v>
    <v>332</v>
    <v>356</v>
    <v>357</v>
    <v>358</v>
    <v>359</v>
    <v>360</v>
    <v>France</v>
    <v>361</v>
    <v>mdp/vdpid/84</v>
  </rv>
  <rv s="12">
    <v>9</v>
    <v>1</v>
  </rv>
  <rv s="3">
    <v>26</v>
  </rv>
  <rv s="3">
    <v>27</v>
  </rv>
  <rv s="13">
    <v>{DF7FC041-1EA9-4175-AA9F-E22A1707A8DB}</v>
    <v>0</v>
    <v>81</v>
    <v>364</v>
    <v>365</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Time zone(s)" t="r"/>
    <k n="UniqueName" t="s"/>
    <k n="VDPID/VSID" t="s"/>
  </s>
  <s t="_error">
    <k n="errorType" t="i"/>
    <k n="propagated" t="b"/>
  </s>
  <s t="_datasourcecontainer">
    <k n="%XLUID" t="s"/>
    <k n="_CRID" t="i"/>
    <k n="_Display" t="spb"/>
    <k n="City" t="r"/>
    <k n="Country/region" t="r"/>
  </s>
</rvStructures>
</file>

<file path=xl/richData/rdsupportingpropertybag.xml><?xml version="1.0" encoding="utf-8"?>
<supportingPropertyBags xmlns="http://schemas.microsoft.com/office/spreadsheetml/2017/richdata2">
  <spbArrays count="7">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_Flags</v>
      <v t="s">VDPID/VSID</v>
      <v t="s">UniqueName</v>
      <v t="s">_DisplayString</v>
      <v t="s">LearnMoreOnLink</v>
      <v t="s">Time zone(s)</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8">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Time zone(s)</v>
      <v t="s">_Flags</v>
      <v t="s">VDPID/VSID</v>
      <v t="s">UniqueName</v>
      <v t="s">_DisplayString</v>
      <v t="s">LearnMoreOnLink</v>
      <v t="s">Image</v>
      <v t="s">Description</v>
    </a>
    <a count="5">
      <v t="s">City</v>
      <v t="s">Country/region</v>
      <v t="s">_CRID</v>
      <v t="s">%XLUID</v>
      <v t="s">_Display</v>
    </a>
  </spbArrays>
  <spbData count="82">
    <spb s="0">
      <v xml:space="preserve">Wikipedia	</v>
      <v xml:space="preserve">CC BY-SA 3.0	</v>
      <v xml:space="preserve">https://en.wikipedia.org/wiki/London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2024</v>
    </spb>
    <spb s="8">
      <v>3</v>
    </spb>
    <spb s="8">
      <v>4</v>
    </spb>
    <spb s="0">
      <v xml:space="preserve">Wikipedia	</v>
      <v xml:space="preserve">CC BY-SA 3.0	</v>
      <v xml:space="preserve">https://en.wikipedia.org/wiki/Greater_London	</v>
      <v xml:space="preserve">https://creativecommons.org/licenses/by-sa/3.0	</v>
    </spb>
    <spb s="9">
      <v>10</v>
      <v>10</v>
      <v>10</v>
      <v>10</v>
      <v>10</v>
      <v>10</v>
    </spb>
    <spb s="2">
      <v>1</v>
      <v>Name</v>
      <v>LearnMoreOnLink</v>
    </spb>
    <spb s="10">
      <v>3</v>
      <v>3</v>
      <v>3</v>
      <v>3</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1">
      <v>14</v>
      <v>15</v>
      <v>16</v>
      <v>16</v>
      <v>17</v>
      <v>16</v>
      <v>16</v>
      <v>16</v>
      <v>18</v>
      <v>16</v>
      <v>16</v>
      <v>18</v>
      <v>16</v>
      <v>16</v>
      <v>19</v>
      <v>20</v>
      <v>15</v>
      <v>19</v>
      <v>21</v>
      <v>16</v>
      <v>19</v>
      <v>22</v>
      <v>23</v>
      <v>24</v>
      <v>19</v>
      <v>19</v>
      <v>16</v>
      <v>19</v>
      <v>25</v>
      <v>26</v>
      <v>27</v>
      <v>28</v>
      <v>19</v>
      <v>15</v>
      <v>19</v>
      <v>19</v>
      <v>19</v>
      <v>19</v>
      <v>19</v>
      <v>19</v>
      <v>19</v>
      <v>19</v>
      <v>19</v>
      <v>19</v>
      <v>29</v>
    </spb>
    <spb s="2">
      <v>2</v>
      <v>Name</v>
      <v>LearnMoreOnLink</v>
    </spb>
    <spb s="12">
      <v>2019</v>
      <v>2019</v>
      <v>square km</v>
      <v>per thousand (2018)</v>
      <v>2025</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8">
      <v>5</v>
    </spb>
    <spb s="8">
      <v>6</v>
    </spb>
    <spb s="8">
      <v>7</v>
    </spb>
    <spb s="8">
      <v>8</v>
    </spb>
    <spb s="8">
      <v>9</v>
    </spb>
    <spb s="8">
      <v>10</v>
    </spb>
    <spb s="8">
      <v>11</v>
    </spb>
    <spb s="8">
      <v>12</v>
    </spb>
    <spb s="0">
      <v xml:space="preserve">Wikipedia	</v>
      <v xml:space="preserve">CC BY-SA 3.0	</v>
      <v xml:space="preserve">https://en.wikipedia.org/wiki/Madrid	</v>
      <v xml:space="preserve">https://creativecommons.org/licenses/by-sa/3.0	</v>
    </spb>
    <spb s="13">
      <v>41</v>
      <v>41</v>
      <v>41</v>
      <v>41</v>
      <v>41</v>
      <v>41</v>
      <v>41</v>
      <v>41</v>
      <v>41</v>
    </spb>
    <spb s="2">
      <v>3</v>
      <v>Name</v>
      <v>LearnMoreOnLink</v>
    </spb>
    <spb s="7">
      <v>square km</v>
      <v>2025</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1">
      <v>14</v>
      <v>45</v>
      <v>46</v>
      <v>46</v>
      <v>17</v>
      <v>46</v>
      <v>46</v>
      <v>46</v>
      <v>47</v>
      <v>46</v>
      <v>46</v>
      <v>47</v>
      <v>46</v>
      <v>46</v>
      <v>48</v>
      <v>20</v>
      <v>45</v>
      <v>48</v>
      <v>21</v>
      <v>46</v>
      <v>48</v>
      <v>22</v>
      <v>23</v>
      <v>24</v>
      <v>48</v>
      <v>48</v>
      <v>46</v>
      <v>48</v>
      <v>25</v>
      <v>26</v>
      <v>27</v>
      <v>28</v>
      <v>48</v>
      <v>45</v>
      <v>48</v>
      <v>48</v>
      <v>48</v>
      <v>48</v>
      <v>48</v>
      <v>48</v>
      <v>48</v>
      <v>48</v>
      <v>48</v>
      <v>48</v>
      <v>29</v>
    </spb>
    <spb s="12">
      <v>2019</v>
      <v>2019</v>
      <v>square km</v>
      <v>per thousand (2018)</v>
      <v>2025</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https://en.wikipedia.org/wiki/Lisbon	</v>
      <v xml:space="preserve">https://creativecommons.org/licenses/by-sa/3.0	</v>
    </spb>
    <spb s="14">
      <v>51</v>
      <v>51</v>
      <v>51</v>
      <v>51</v>
      <v>51</v>
      <v>51</v>
      <v>51</v>
    </spb>
    <spb s="2">
      <v>4</v>
      <v>Name</v>
      <v>LearnMoreOnLink</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1">
      <v>14</v>
      <v>54</v>
      <v>55</v>
      <v>55</v>
      <v>17</v>
      <v>55</v>
      <v>55</v>
      <v>55</v>
      <v>56</v>
      <v>55</v>
      <v>55</v>
      <v>56</v>
      <v>55</v>
      <v>55</v>
      <v>57</v>
      <v>20</v>
      <v>54</v>
      <v>57</v>
      <v>21</v>
      <v>55</v>
      <v>57</v>
      <v>22</v>
      <v>23</v>
      <v>24</v>
      <v>57</v>
      <v>57</v>
      <v>55</v>
      <v>57</v>
      <v>25</v>
      <v>26</v>
      <v>27</v>
      <v>28</v>
      <v>57</v>
      <v>54</v>
      <v>57</v>
      <v>57</v>
      <v>57</v>
      <v>57</v>
      <v>57</v>
      <v>57</v>
      <v>57</v>
      <v>57</v>
      <v>57</v>
      <v>57</v>
      <v>29</v>
    </spb>
    <spb s="12">
      <v>2019</v>
      <v>2019</v>
      <v>square km</v>
      <v>per thousand (2018)</v>
      <v>2025</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5">
      <v>60</v>
      <v>60</v>
      <v>61</v>
      <v>60</v>
      <v>60</v>
      <v>60</v>
      <v>62</v>
      <v>61</v>
      <v>60</v>
      <v>61</v>
    </spb>
    <spb s="2">
      <v>5</v>
      <v>Name</v>
      <v>LearnMoreOnLink</v>
    </spb>
    <spb s="16">
      <v>square km</v>
      <v>2011</v>
      <v>2025</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1">
      <v>14</v>
      <v>66</v>
      <v>67</v>
      <v>67</v>
      <v>17</v>
      <v>67</v>
      <v>67</v>
      <v>67</v>
      <v>68</v>
      <v>67</v>
      <v>67</v>
      <v>68</v>
      <v>67</v>
      <v>67</v>
      <v>69</v>
      <v>20</v>
      <v>66</v>
      <v>69</v>
      <v>21</v>
      <v>67</v>
      <v>69</v>
      <v>22</v>
      <v>23</v>
      <v>24</v>
      <v>69</v>
      <v>69</v>
      <v>67</v>
      <v>69</v>
      <v>25</v>
      <v>26</v>
      <v>27</v>
      <v>28</v>
      <v>69</v>
      <v>66</v>
      <v>69</v>
      <v>69</v>
      <v>69</v>
      <v>69</v>
      <v>69</v>
      <v>69</v>
      <v>69</v>
      <v>69</v>
      <v>69</v>
      <v>69</v>
      <v>29</v>
    </spb>
    <spb s="12">
      <v>2019</v>
      <v>2019</v>
      <v>square km</v>
      <v>per thousand (2018)</v>
      <v>2025</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CC BY-SA 3.0	</v>
      <v xml:space="preserve">https://en.wikipedia.org/wiki/Paris	</v>
      <v xml:space="preserve">https://creativecommons.org/licenses/by-sa/3.0	</v>
    </spb>
    <spb s="13">
      <v>72</v>
      <v>72</v>
      <v>72</v>
      <v>72</v>
      <v>72</v>
      <v>72</v>
      <v>72</v>
      <v>72</v>
      <v>72</v>
    </spb>
    <spb s="7">
      <v>square km</v>
      <v>2026</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1">
      <v>14</v>
      <v>75</v>
      <v>76</v>
      <v>76</v>
      <v>17</v>
      <v>76</v>
      <v>76</v>
      <v>76</v>
      <v>77</v>
      <v>76</v>
      <v>76</v>
      <v>77</v>
      <v>76</v>
      <v>76</v>
      <v>78</v>
      <v>20</v>
      <v>75</v>
      <v>78</v>
      <v>21</v>
      <v>76</v>
      <v>78</v>
      <v>22</v>
      <v>23</v>
      <v>24</v>
      <v>78</v>
      <v>78</v>
      <v>76</v>
      <v>78</v>
      <v>25</v>
      <v>26</v>
      <v>27</v>
      <v>28</v>
      <v>78</v>
      <v>75</v>
      <v>78</v>
      <v>78</v>
      <v>78</v>
      <v>78</v>
      <v>78</v>
      <v>78</v>
      <v>78</v>
      <v>78</v>
      <v>78</v>
      <v>78</v>
      <v>29</v>
    </spb>
    <spb s="12">
      <v>2019</v>
      <v>2019</v>
      <v>square km</v>
      <v>per thousand (2018)</v>
      <v>2025</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17">
      <v>6</v>
    </spb>
  </spbData>
</supportingPropertyBags>
</file>

<file path=xl/richData/rdsupportingpropertybagstructure.xml><?xml version="1.0" encoding="utf-8"?>
<spbStructures xmlns="http://schemas.microsoft.com/office/spreadsheetml/2017/richdata2" count="18">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Country/region" t="spb"/>
  </s>
  <s>
    <k n="UniqueName" t="spb"/>
    <k n="VDPID/VSID"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Area" t="spb"/>
    <k n="Name" t="spb"/>
    <k n="Population" t="spb"/>
    <k n="UniqueName" t="spb"/>
    <k n="Description" t="spb"/>
    <k n="Country/region" t="spb"/>
    <k n="Admin Division 1 (State/province/other)"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1">
      <rpv i="2">#,##0</rpv>
    </rSty>
    <rSty dxfid="5">
      <rpv i="2">0.0000</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60EE99A3-3326-4DB9-87FD-848B8BD4FF22}" sourceName="Manager">
  <pivotTables>
    <pivotTable tabId="10" name="PivotTable7"/>
    <pivotTable tabId="13" name="PivotTable10"/>
    <pivotTable tabId="13" name="PivotTable7"/>
    <pivotTable tabId="13" name="PivotTable8"/>
    <pivotTable tabId="13" name="PivotTable9"/>
    <pivotTable tabId="9" name="PivotTable7"/>
    <pivotTable tabId="11" name="PivotTable7"/>
  </pivotTables>
  <data>
    <tabular pivotCacheId="2018979010">
      <items count="5">
        <i x="2" s="1"/>
        <i x="1"/>
        <i x="4"/>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C773B65F-8B16-46B1-A5A8-C614B3A7B33E}" cache="Slicer_Manager" caption="Manager"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523175-EEE2-40B8-8BD9-30693141575A}" name="Table2" displayName="Table2" ref="B2:L264" totalsRowShown="0" headerRowDxfId="17" dataDxfId="16">
  <autoFilter ref="B2:L264" xr:uid="{9B523175-EEE2-40B8-8BD9-30693141575A}"/>
  <tableColumns count="11">
    <tableColumn id="1" xr3:uid="{A44B8196-A66D-475C-A052-17CEE472745D}" name="Order ID" dataDxfId="15"/>
    <tableColumn id="2" xr3:uid="{0F6F0850-D935-4D31-A30F-594325949232}" name="Date" dataDxfId="4"/>
    <tableColumn id="3" xr3:uid="{3F37EBE6-3745-4A5A-AECB-D9CB3CB287B4}" name="Product" dataDxfId="14"/>
    <tableColumn id="4" xr3:uid="{19EC01FD-7E0D-4E95-A70A-C01B0DE19AC0}" name="Price" dataDxfId="13"/>
    <tableColumn id="6" xr3:uid="{9D80CB90-1142-41F3-83BB-E06FFC6D9325}" name="Purchase Type" dataDxfId="12"/>
    <tableColumn id="7" xr3:uid="{04CFB8F4-9001-41C1-8B2C-A2EF5A602C76}" name="Payment Method" dataDxfId="11"/>
    <tableColumn id="10" xr3:uid="{97DF4A67-0B0B-4E2C-B0F7-069932BA54E8}" name="Manager" dataDxfId="10"/>
    <tableColumn id="11" xr3:uid="{0D2650EC-8124-4198-BEB5-585EF8E63B77}" name="Quantity" dataDxfId="9"/>
    <tableColumn id="9" xr3:uid="{78B527F2-8FDA-4494-9422-4D79E2652C3D}" name="City" dataDxfId="7"/>
    <tableColumn id="13" xr3:uid="{57C18069-F424-4DB2-BFED-E3A9D48C91CC}" name="Country/region" dataDxfId="8">
      <calculatedColumnFormula array="1">_FV(Table2[[#This Row],[City]],"Country/region",TRUE)</calculatedColumnFormula>
    </tableColumn>
    <tableColumn id="14" xr3:uid="{DDB02D93-59B9-45AF-8AD7-F81E2A1D2141}" name="Revenue" dataDxfId="6">
      <calculatedColumnFormula>Table2[[#This Row],[Quantity]]*Table2[[#This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24">
  <autoFilter ref="B2:M256" xr:uid="{CD828420-2A6D-014A-88B1-2BABA3BA0542}"/>
  <tableColumns count="12">
    <tableColumn id="1" xr3:uid="{10C0F244-483F-4A49-B3E1-49B616F196C1}" name="Order ID" dataDxfId="23"/>
    <tableColumn id="2" xr3:uid="{B235E101-74E6-5142-B134-5985F87CF2C6}" name="Date" dataDxfId="22"/>
    <tableColumn id="3" xr3:uid="{088D2698-CC16-384A-AC92-4BBA913E871B}" name="Product"/>
    <tableColumn id="4" xr3:uid="{774386CA-C236-0B40-B729-491CD51B3277}" name="Price" dataDxfId="21"/>
    <tableColumn id="5" xr3:uid="{50AC1BB4-99E7-AC4F-A7F9-302247587674}" name="Quantity" dataDxfId="20"/>
    <tableColumn id="6" xr3:uid="{428F1872-246B-6B47-9CB3-7AC4B776FA81}" name="Cost" dataDxfId="19"/>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18">
      <calculatedColumnFormula>Table1[[#This Row],[Price]]*Table1[[#This Row],[Quantity]]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FF98B9-A04F-4101-A305-36643E8E0240}" name="Table3" displayName="Table3" ref="A3:K265" totalsRowShown="0">
  <autoFilter ref="A3:K265" xr:uid="{31FF98B9-A04F-4101-A305-36643E8E0240}"/>
  <tableColumns count="11">
    <tableColumn id="1" xr3:uid="{E6D36657-D9B1-4EE8-A93B-4E76AE30A0C7}" name="Order ID"/>
    <tableColumn id="2" xr3:uid="{84B1AADB-9040-46BD-907D-E79BC140C3A2}" name="Date" dataDxfId="2"/>
    <tableColumn id="3" xr3:uid="{E4799D86-4450-43D2-8765-FC5978953BA1}" name="Product"/>
    <tableColumn id="4" xr3:uid="{86CE985C-603C-491C-8C5B-4D77E663E14F}" name="Price"/>
    <tableColumn id="5" xr3:uid="{AE68A462-7DA2-4AD1-B47C-4C824E7850B5}" name="Purchase Type"/>
    <tableColumn id="6" xr3:uid="{578FF915-0101-464D-B344-56923F1E8633}" name="Payment Method"/>
    <tableColumn id="7" xr3:uid="{769ED841-2514-4C55-9E1F-905370358370}" name="Manager"/>
    <tableColumn id="8" xr3:uid="{F6C805CC-6200-43F9-9ED9-8F8E10AD762F}" name="Quantity"/>
    <tableColumn id="9" xr3:uid="{03436EE9-BA8D-4B81-804A-5E7D5FFAA0DB}" name="City"/>
    <tableColumn id="10" xr3:uid="{F4513466-1527-4125-90B4-A9CD06103C5A}" name="Country/region"/>
    <tableColumn id="11" xr3:uid="{FEA555BA-937C-48B0-8AE3-B6C581A61FC0}" name="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88EE42-EE2E-41A5-A9EB-CA8A21199178}" name="Table4" displayName="Table4" ref="A3:K61" totalsRowShown="0">
  <autoFilter ref="A3:K61" xr:uid="{8688EE42-EE2E-41A5-A9EB-CA8A21199178}"/>
  <tableColumns count="11">
    <tableColumn id="1" xr3:uid="{D32C380B-A279-467E-9A8A-11332A2CD1BE}" name="Order ID"/>
    <tableColumn id="2" xr3:uid="{A7ACD81A-1F97-4BD0-B2F8-E1A4E01EBA51}" name="Date" dataDxfId="3"/>
    <tableColumn id="3" xr3:uid="{12FFFE00-BA3E-4E4D-8292-20852159767B}" name="Product"/>
    <tableColumn id="4" xr3:uid="{09F900B9-9ED1-444E-94AA-B72A16890972}" name="Price"/>
    <tableColumn id="5" xr3:uid="{E139D77D-51D8-44F1-8C4B-0B63927EFA9D}" name="Purchase Type"/>
    <tableColumn id="6" xr3:uid="{4A1471E5-E8B9-46D1-911F-5C907658A438}" name="Payment Method"/>
    <tableColumn id="7" xr3:uid="{3670CBF1-D68C-45DC-ACC3-31B52EEB2D2B}" name="Manager"/>
    <tableColumn id="8" xr3:uid="{F5AE84CB-2146-4599-8406-7840CF57FFB3}" name="Quantity"/>
    <tableColumn id="9" xr3:uid="{AD254C60-C7E6-40C7-B638-41317070A1FE}" name="City"/>
    <tableColumn id="10" xr3:uid="{3185E2D8-CD96-4B05-8C77-702A12C90FD3}" name="Country/region"/>
    <tableColumn id="11" xr3:uid="{E3D40895-D6FB-4599-B5FE-CA72A707C4AF}"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data-analysis-feb-24-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D2B9-3D73-46A7-96E6-F29408808EBC}">
  <dimension ref="B4:D19"/>
  <sheetViews>
    <sheetView showGridLines="0" zoomScale="70" zoomScaleNormal="70" workbookViewId="0">
      <selection activeCell="C11" sqref="C11"/>
    </sheetView>
  </sheetViews>
  <sheetFormatPr defaultColWidth="9.5" defaultRowHeight="15" x14ac:dyDescent="0.25"/>
  <cols>
    <col min="1" max="1" width="9.5" style="23"/>
    <col min="2" max="2" width="7.375" style="23" customWidth="1"/>
    <col min="3" max="3" width="96.75" style="23" bestFit="1" customWidth="1"/>
    <col min="4" max="4" width="8.25" style="23" customWidth="1"/>
    <col min="5" max="16384" width="9.5" style="23"/>
  </cols>
  <sheetData>
    <row r="4" spans="2:4" ht="54" x14ac:dyDescent="0.25">
      <c r="B4" s="20"/>
      <c r="C4" s="21" t="s">
        <v>41</v>
      </c>
      <c r="D4" s="22"/>
    </row>
    <row r="5" spans="2:4" ht="64.5" x14ac:dyDescent="0.25">
      <c r="B5" s="24"/>
      <c r="C5" s="25"/>
      <c r="D5" s="26"/>
    </row>
    <row r="6" spans="2:4" x14ac:dyDescent="0.25">
      <c r="B6" s="24"/>
      <c r="C6" s="27"/>
      <c r="D6" s="26"/>
    </row>
    <row r="7" spans="2:4" x14ac:dyDescent="0.25">
      <c r="B7" s="24"/>
      <c r="C7" s="27"/>
      <c r="D7" s="26"/>
    </row>
    <row r="8" spans="2:4" x14ac:dyDescent="0.25">
      <c r="B8" s="24"/>
      <c r="C8" s="27"/>
      <c r="D8" s="26"/>
    </row>
    <row r="9" spans="2:4" s="31" customFormat="1" ht="21" x14ac:dyDescent="0.35">
      <c r="B9" s="28"/>
      <c r="C9" s="29" t="s">
        <v>35</v>
      </c>
      <c r="D9" s="30"/>
    </row>
    <row r="10" spans="2:4" s="31" customFormat="1" ht="21" x14ac:dyDescent="0.35">
      <c r="B10" s="28"/>
      <c r="C10" s="32"/>
      <c r="D10" s="30"/>
    </row>
    <row r="11" spans="2:4" s="36" customFormat="1" ht="23.45" customHeight="1" x14ac:dyDescent="0.25">
      <c r="B11" s="33"/>
      <c r="C11" s="34" t="s">
        <v>36</v>
      </c>
      <c r="D11" s="35"/>
    </row>
    <row r="12" spans="2:4" x14ac:dyDescent="0.25">
      <c r="B12" s="24"/>
      <c r="C12" s="27"/>
      <c r="D12" s="26"/>
    </row>
    <row r="13" spans="2:4" x14ac:dyDescent="0.25">
      <c r="B13" s="24"/>
      <c r="C13" s="27"/>
      <c r="D13" s="26"/>
    </row>
    <row r="14" spans="2:4" x14ac:dyDescent="0.25">
      <c r="B14" s="24"/>
      <c r="C14" s="27"/>
      <c r="D14" s="26"/>
    </row>
    <row r="15" spans="2:4" ht="18.75" x14ac:dyDescent="0.3">
      <c r="B15" s="24"/>
      <c r="C15" s="37" t="s">
        <v>37</v>
      </c>
      <c r="D15" s="26"/>
    </row>
    <row r="16" spans="2:4" x14ac:dyDescent="0.25">
      <c r="B16" s="24"/>
      <c r="C16" s="38" t="s">
        <v>38</v>
      </c>
      <c r="D16" s="26"/>
    </row>
    <row r="17" spans="2:4" x14ac:dyDescent="0.25">
      <c r="B17" s="24"/>
      <c r="C17" s="27" t="s">
        <v>39</v>
      </c>
      <c r="D17" s="26"/>
    </row>
    <row r="18" spans="2:4" ht="30" x14ac:dyDescent="0.25">
      <c r="B18" s="24"/>
      <c r="C18" s="39" t="s">
        <v>40</v>
      </c>
      <c r="D18" s="26"/>
    </row>
    <row r="19" spans="2:4" x14ac:dyDescent="0.25">
      <c r="B19" s="40"/>
      <c r="C19" s="41"/>
      <c r="D19" s="42"/>
    </row>
  </sheetData>
  <sheetProtection algorithmName="SHA-512" hashValue="yWGABtfjzepYSTo43D3A5hkYeTaT4kSbHoqp90WRJ8UW820Sv96pK/CKereKOyzlnBnJO2kMUfHxl00AOwoMcA==" saltValue="pwN6jvKyr+yDZWTzDbxFeQ==" spinCount="100000" sheet="1" objects="1" scenarios="1"/>
  <hyperlinks>
    <hyperlink ref="C11" r:id="rId1" xr:uid="{DE9F587C-7CCD-42C7-A0DC-85AB592617FA}"/>
    <hyperlink ref="C15" r:id="rId2" display="Made by Kenji Explains" xr:uid="{91CF7977-C5CF-41CC-81C4-13350A60E1BF}"/>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1:V264"/>
  <sheetViews>
    <sheetView zoomScale="85" zoomScaleNormal="85" workbookViewId="0">
      <selection activeCell="J25" sqref="J25"/>
    </sheetView>
  </sheetViews>
  <sheetFormatPr defaultColWidth="10.625" defaultRowHeight="15.75" x14ac:dyDescent="0.25"/>
  <cols>
    <col min="1" max="2" width="10.625" style="47"/>
    <col min="3" max="3" width="16.875" style="47" bestFit="1" customWidth="1"/>
    <col min="4" max="4" width="17.5" style="47" bestFit="1" customWidth="1"/>
    <col min="5" max="5" width="10.625" style="47"/>
    <col min="6" max="6" width="15.125" style="47" customWidth="1"/>
    <col min="7" max="7" width="17.75" style="47" customWidth="1"/>
    <col min="9" max="9" width="13.5" style="47" bestFit="1" customWidth="1"/>
    <col min="10" max="10" width="10.625" style="47"/>
    <col min="11" max="11" width="18.25" style="47" bestFit="1" customWidth="1"/>
    <col min="12" max="12" width="18.25" style="47" customWidth="1"/>
    <col min="13" max="13" width="13.75" customWidth="1"/>
    <col min="14" max="14" width="12.875" style="47" customWidth="1"/>
    <col min="15" max="15" width="16.375" style="47" bestFit="1" customWidth="1"/>
    <col min="16" max="16" width="11.875" style="47" bestFit="1" customWidth="1"/>
    <col min="17" max="17" width="10.625" style="47"/>
    <col min="18" max="18" width="12.625" style="47" customWidth="1"/>
    <col min="19" max="16384" width="10.625" style="47"/>
  </cols>
  <sheetData>
    <row r="1" spans="2:22" x14ac:dyDescent="0.25">
      <c r="H1" s="47"/>
    </row>
    <row r="2" spans="2:22" x14ac:dyDescent="0.25">
      <c r="B2" s="1" t="s">
        <v>0</v>
      </c>
      <c r="C2" s="1" t="s">
        <v>1</v>
      </c>
      <c r="D2" s="1" t="s">
        <v>2</v>
      </c>
      <c r="E2" s="2" t="s">
        <v>3</v>
      </c>
      <c r="F2" s="1" t="s">
        <v>5</v>
      </c>
      <c r="G2" s="1" t="s">
        <v>6</v>
      </c>
      <c r="H2" s="1" t="s">
        <v>7</v>
      </c>
      <c r="I2" s="1" t="s">
        <v>4</v>
      </c>
      <c r="J2" s="1" t="s">
        <v>8</v>
      </c>
      <c r="K2" s="1" t="s">
        <v>45</v>
      </c>
      <c r="L2" s="1" t="s">
        <v>32</v>
      </c>
    </row>
    <row r="3" spans="2:22" ht="15.75" customHeight="1" x14ac:dyDescent="0.25">
      <c r="B3" s="48">
        <v>10452</v>
      </c>
      <c r="C3" s="62">
        <v>44872</v>
      </c>
      <c r="D3" s="47" t="s">
        <v>9</v>
      </c>
      <c r="E3" s="48">
        <v>3.49</v>
      </c>
      <c r="F3" s="48" t="s">
        <v>10</v>
      </c>
      <c r="G3" s="48" t="s">
        <v>11</v>
      </c>
      <c r="H3" s="48" t="s">
        <v>24</v>
      </c>
      <c r="I3" s="48">
        <v>574</v>
      </c>
      <c r="J3" s="48" t="e" vm="1">
        <v>#VALUE!</v>
      </c>
      <c r="K3" s="48" t="e" cm="1" vm="2">
        <f t="array" aca="1" ref="K3" ca="1">_FV(Table2[[#This Row],[City]],"Country/region",TRUE)</f>
        <v>#VALUE!</v>
      </c>
      <c r="L3" s="48">
        <f>Table2[[#This Row],[Quantity]]*Table2[[#This Row],[Price]]</f>
        <v>2003.2600000000002</v>
      </c>
      <c r="O3" s="46" t="s">
        <v>42</v>
      </c>
      <c r="P3" s="46"/>
      <c r="Q3" s="46"/>
      <c r="R3" s="46"/>
      <c r="T3" s="49" t="s">
        <v>63</v>
      </c>
      <c r="U3" s="49"/>
      <c r="V3" s="49"/>
    </row>
    <row r="4" spans="2:22" x14ac:dyDescent="0.25">
      <c r="B4" s="48">
        <v>10453</v>
      </c>
      <c r="C4" s="62">
        <v>44872</v>
      </c>
      <c r="D4" s="47" t="s">
        <v>12</v>
      </c>
      <c r="E4" s="48">
        <v>2.95</v>
      </c>
      <c r="F4" s="48" t="s">
        <v>10</v>
      </c>
      <c r="G4" s="48" t="s">
        <v>11</v>
      </c>
      <c r="H4" s="48" t="s">
        <v>20</v>
      </c>
      <c r="I4" s="48">
        <v>746</v>
      </c>
      <c r="J4" s="48" t="e" vm="3">
        <v>#VALUE!</v>
      </c>
      <c r="K4" s="48" t="e" cm="1" vm="4">
        <f t="array" aca="1" ref="K4" ca="1">_FV(Table2[[#This Row],[City]],"Country/region",TRUE)</f>
        <v>#VALUE!</v>
      </c>
      <c r="L4" s="48">
        <f>Table2[[#This Row],[Quantity]]*Table2[[#This Row],[Price]]</f>
        <v>2200.7000000000003</v>
      </c>
      <c r="O4" s="46"/>
      <c r="P4" s="46"/>
      <c r="Q4" s="46"/>
      <c r="R4" s="46"/>
      <c r="T4" s="49"/>
      <c r="U4" s="49"/>
      <c r="V4" s="49"/>
    </row>
    <row r="5" spans="2:22" x14ac:dyDescent="0.25">
      <c r="B5" s="48">
        <v>10454</v>
      </c>
      <c r="C5" s="62">
        <v>44872</v>
      </c>
      <c r="D5" s="47" t="s">
        <v>13</v>
      </c>
      <c r="E5" s="48">
        <v>4.99</v>
      </c>
      <c r="F5" s="48" t="s">
        <v>14</v>
      </c>
      <c r="G5" s="48" t="s">
        <v>11</v>
      </c>
      <c r="H5" s="48" t="s">
        <v>21</v>
      </c>
      <c r="I5" s="48">
        <v>201</v>
      </c>
      <c r="J5" s="48" t="e" vm="5">
        <v>#VALUE!</v>
      </c>
      <c r="K5" s="48" t="e" cm="1" vm="6">
        <f t="array" aca="1" ref="K5" ca="1">_FV(Table2[[#This Row],[City]],"Country/region",TRUE)</f>
        <v>#VALUE!</v>
      </c>
      <c r="L5" s="48">
        <f>Table2[[#This Row],[Quantity]]*Table2[[#This Row],[Price]]</f>
        <v>1002.99</v>
      </c>
      <c r="O5" s="46"/>
      <c r="P5" s="46"/>
      <c r="Q5" s="46"/>
      <c r="R5" s="46"/>
      <c r="T5" s="49"/>
      <c r="U5" s="49"/>
      <c r="V5" s="49"/>
    </row>
    <row r="6" spans="2:22" x14ac:dyDescent="0.25">
      <c r="B6" s="48">
        <v>10455</v>
      </c>
      <c r="C6" s="62">
        <v>44873</v>
      </c>
      <c r="D6" s="47" t="s">
        <v>15</v>
      </c>
      <c r="E6" s="48">
        <v>12.99</v>
      </c>
      <c r="F6" s="48" t="s">
        <v>14</v>
      </c>
      <c r="G6" s="48" t="s">
        <v>16</v>
      </c>
      <c r="H6" s="48" t="s">
        <v>17</v>
      </c>
      <c r="I6" s="48">
        <v>570</v>
      </c>
      <c r="J6" s="48" t="e" vm="7">
        <v>#VALUE!</v>
      </c>
      <c r="K6" s="48" t="e" cm="1" vm="8">
        <f t="array" aca="1" ref="K6" ca="1">_FV(Table2[[#This Row],[City]],"Country/region",TRUE)</f>
        <v>#VALUE!</v>
      </c>
      <c r="L6" s="48">
        <f>Table2[[#This Row],[Quantity]]*Table2[[#This Row],[Price]]</f>
        <v>7404.3</v>
      </c>
      <c r="O6" s="46"/>
      <c r="P6" s="46"/>
      <c r="Q6" s="46"/>
      <c r="R6" s="46"/>
    </row>
    <row r="7" spans="2:22" x14ac:dyDescent="0.25">
      <c r="B7" s="48">
        <v>10456</v>
      </c>
      <c r="C7" s="62">
        <v>44873</v>
      </c>
      <c r="D7" s="47" t="s">
        <v>18</v>
      </c>
      <c r="E7" s="48">
        <v>9.9499999999999993</v>
      </c>
      <c r="F7" s="48" t="s">
        <v>14</v>
      </c>
      <c r="G7" s="48" t="s">
        <v>16</v>
      </c>
      <c r="H7" s="48" t="s">
        <v>17</v>
      </c>
      <c r="I7" s="48">
        <v>202</v>
      </c>
      <c r="J7" s="48" t="e" vm="7">
        <v>#VALUE!</v>
      </c>
      <c r="K7" s="48" t="e" cm="1" vm="8">
        <f t="array" aca="1" ref="K7" ca="1">_FV(Table2[[#This Row],[City]],"Country/region",TRUE)</f>
        <v>#VALUE!</v>
      </c>
      <c r="L7" s="48">
        <f>Table2[[#This Row],[Quantity]]*Table2[[#This Row],[Price]]</f>
        <v>2009.8999999999999</v>
      </c>
      <c r="O7" s="46"/>
      <c r="P7" s="46"/>
      <c r="Q7" s="46"/>
      <c r="R7" s="46"/>
    </row>
    <row r="8" spans="2:22" x14ac:dyDescent="0.25">
      <c r="B8" s="48">
        <v>10457</v>
      </c>
      <c r="C8" s="62">
        <v>44873</v>
      </c>
      <c r="D8" s="47" t="s">
        <v>9</v>
      </c>
      <c r="E8" s="48">
        <v>3.49</v>
      </c>
      <c r="F8" s="48" t="s">
        <v>14</v>
      </c>
      <c r="G8" s="48" t="s">
        <v>16</v>
      </c>
      <c r="H8" s="48" t="s">
        <v>19</v>
      </c>
      <c r="I8" s="48">
        <v>574</v>
      </c>
      <c r="J8" s="48" t="e" vm="9">
        <v>#VALUE!</v>
      </c>
      <c r="K8" s="48" t="e" cm="1" vm="10">
        <f t="array" aca="1" ref="K8" ca="1">_FV(Table2[[#This Row],[City]],"Country/region",TRUE)</f>
        <v>#VALUE!</v>
      </c>
      <c r="L8" s="48">
        <f>Table2[[#This Row],[Quantity]]*Table2[[#This Row],[Price]]</f>
        <v>2003.2600000000002</v>
      </c>
    </row>
    <row r="9" spans="2:22" ht="15.75" customHeight="1" x14ac:dyDescent="0.25">
      <c r="B9" s="48">
        <v>10457</v>
      </c>
      <c r="C9" s="62">
        <v>44873</v>
      </c>
      <c r="D9" s="47" t="s">
        <v>9</v>
      </c>
      <c r="E9" s="48">
        <v>3.49</v>
      </c>
      <c r="F9" s="48" t="s">
        <v>14</v>
      </c>
      <c r="G9" s="48" t="s">
        <v>16</v>
      </c>
      <c r="H9" s="48" t="s">
        <v>19</v>
      </c>
      <c r="I9" s="48">
        <v>574</v>
      </c>
      <c r="J9" s="48" t="e" vm="9">
        <v>#VALUE!</v>
      </c>
      <c r="K9" s="48" t="e" cm="1" vm="10">
        <f t="array" aca="1" ref="K9" ca="1">_FV(Table2[[#This Row],[City]],"Country/region",TRUE)</f>
        <v>#VALUE!</v>
      </c>
      <c r="L9" s="48">
        <f>Table2[[#This Row],[Quantity]]*Table2[[#This Row],[Price]]</f>
        <v>2003.2600000000002</v>
      </c>
      <c r="O9" s="45" t="s">
        <v>43</v>
      </c>
      <c r="P9" s="45"/>
      <c r="Q9" s="45"/>
      <c r="R9" s="45"/>
    </row>
    <row r="10" spans="2:22" x14ac:dyDescent="0.25">
      <c r="B10" s="48">
        <v>10459</v>
      </c>
      <c r="C10" s="62">
        <v>44873</v>
      </c>
      <c r="D10" s="47" t="s">
        <v>13</v>
      </c>
      <c r="E10" s="48">
        <v>4.99</v>
      </c>
      <c r="F10" s="48" t="s">
        <v>14</v>
      </c>
      <c r="G10" s="48" t="s">
        <v>16</v>
      </c>
      <c r="H10" s="48" t="s">
        <v>17</v>
      </c>
      <c r="I10" s="48">
        <v>201</v>
      </c>
      <c r="J10" s="48" t="e" vm="7">
        <v>#VALUE!</v>
      </c>
      <c r="K10" s="48" t="e" cm="1" vm="8">
        <f t="array" aca="1" ref="K10" ca="1">_FV(Table2[[#This Row],[City]],"Country/region",TRUE)</f>
        <v>#VALUE!</v>
      </c>
      <c r="L10" s="48">
        <f>Table2[[#This Row],[Quantity]]*Table2[[#This Row],[Price]]</f>
        <v>1002.99</v>
      </c>
      <c r="O10" s="45"/>
      <c r="P10" s="45"/>
      <c r="Q10" s="45"/>
      <c r="R10" s="45"/>
    </row>
    <row r="11" spans="2:22" x14ac:dyDescent="0.25">
      <c r="B11" s="48">
        <v>10460</v>
      </c>
      <c r="C11" s="62">
        <v>44874</v>
      </c>
      <c r="D11" s="47" t="s">
        <v>15</v>
      </c>
      <c r="E11" s="48">
        <v>12.99</v>
      </c>
      <c r="F11" s="48" t="s">
        <v>14</v>
      </c>
      <c r="G11" s="48" t="s">
        <v>16</v>
      </c>
      <c r="H11" s="48" t="s">
        <v>19</v>
      </c>
      <c r="I11" s="48">
        <v>555</v>
      </c>
      <c r="J11" s="48" t="e" vm="9">
        <v>#VALUE!</v>
      </c>
      <c r="K11" s="48" t="e" cm="1" vm="10">
        <f t="array" aca="1" ref="K11" ca="1">_FV(Table2[[#This Row],[City]],"Country/region",TRUE)</f>
        <v>#VALUE!</v>
      </c>
      <c r="L11" s="48">
        <f>Table2[[#This Row],[Quantity]]*Table2[[#This Row],[Price]]</f>
        <v>7209.45</v>
      </c>
      <c r="O11" s="45"/>
      <c r="P11" s="45"/>
      <c r="Q11" s="45"/>
      <c r="R11" s="45"/>
    </row>
    <row r="12" spans="2:22" x14ac:dyDescent="0.25">
      <c r="B12" s="48">
        <v>10461</v>
      </c>
      <c r="C12" s="62">
        <v>44874</v>
      </c>
      <c r="D12" s="47" t="s">
        <v>18</v>
      </c>
      <c r="E12" s="48">
        <v>9.9499999999999993</v>
      </c>
      <c r="F12" s="48" t="s">
        <v>14</v>
      </c>
      <c r="G12" s="48" t="s">
        <v>16</v>
      </c>
      <c r="H12" s="48" t="s">
        <v>19</v>
      </c>
      <c r="I12" s="48">
        <v>202</v>
      </c>
      <c r="J12" s="48" t="e" vm="9">
        <v>#VALUE!</v>
      </c>
      <c r="K12" s="48" t="e" cm="1" vm="10">
        <f t="array" aca="1" ref="K12" ca="1">_FV(Table2[[#This Row],[City]],"Country/region",TRUE)</f>
        <v>#VALUE!</v>
      </c>
      <c r="L12" s="48">
        <f>Table2[[#This Row],[Quantity]]*Table2[[#This Row],[Price]]</f>
        <v>2009.8999999999999</v>
      </c>
      <c r="O12" s="45"/>
      <c r="P12" s="45"/>
      <c r="Q12" s="45"/>
      <c r="R12" s="45"/>
    </row>
    <row r="13" spans="2:22" x14ac:dyDescent="0.25">
      <c r="B13" s="48">
        <v>10462</v>
      </c>
      <c r="C13" s="62">
        <v>44874</v>
      </c>
      <c r="D13" s="47" t="s">
        <v>9</v>
      </c>
      <c r="E13" s="48">
        <v>3.49</v>
      </c>
      <c r="F13" s="48" t="s">
        <v>14</v>
      </c>
      <c r="G13" s="48" t="s">
        <v>16</v>
      </c>
      <c r="H13" s="48" t="s">
        <v>19</v>
      </c>
      <c r="I13" s="48">
        <v>574</v>
      </c>
      <c r="J13" s="48" t="e" vm="9">
        <v>#VALUE!</v>
      </c>
      <c r="K13" s="48" t="e" cm="1" vm="10">
        <f t="array" aca="1" ref="K13" ca="1">_FV(Table2[[#This Row],[City]],"Country/region",TRUE)</f>
        <v>#VALUE!</v>
      </c>
      <c r="L13" s="48">
        <f>Table2[[#This Row],[Quantity]]*Table2[[#This Row],[Price]]</f>
        <v>2003.2600000000002</v>
      </c>
      <c r="O13" s="45"/>
      <c r="P13" s="45"/>
      <c r="Q13" s="45"/>
      <c r="R13" s="45"/>
    </row>
    <row r="14" spans="2:22" ht="15.75" customHeight="1" x14ac:dyDescent="0.25">
      <c r="B14" s="48">
        <v>10463</v>
      </c>
      <c r="C14" s="62">
        <v>44874</v>
      </c>
      <c r="D14" s="47" t="s">
        <v>12</v>
      </c>
      <c r="E14" s="48">
        <v>2.95</v>
      </c>
      <c r="F14" s="48" t="s">
        <v>14</v>
      </c>
      <c r="G14" s="48" t="s">
        <v>16</v>
      </c>
      <c r="H14" s="48" t="s">
        <v>19</v>
      </c>
      <c r="I14" s="48">
        <v>678</v>
      </c>
      <c r="J14" s="48" t="e" vm="9">
        <v>#VALUE!</v>
      </c>
      <c r="K14" s="48" t="e" cm="1" vm="10">
        <f t="array" aca="1" ref="K14" ca="1">_FV(Table2[[#This Row],[City]],"Country/region",TRUE)</f>
        <v>#VALUE!</v>
      </c>
      <c r="L14" s="48">
        <f>Table2[[#This Row],[Quantity]]*Table2[[#This Row],[Price]]</f>
        <v>2000.1000000000001</v>
      </c>
      <c r="O14" s="45"/>
      <c r="P14" s="45"/>
      <c r="Q14" s="45"/>
      <c r="R14" s="45"/>
    </row>
    <row r="15" spans="2:22" x14ac:dyDescent="0.25">
      <c r="B15" s="48">
        <v>10464</v>
      </c>
      <c r="C15" s="62">
        <v>44874</v>
      </c>
      <c r="D15" s="47" t="s">
        <v>13</v>
      </c>
      <c r="E15" s="48">
        <v>4.99</v>
      </c>
      <c r="F15" s="48" t="s">
        <v>14</v>
      </c>
      <c r="G15" s="48" t="s">
        <v>16</v>
      </c>
      <c r="H15" s="48" t="s">
        <v>19</v>
      </c>
      <c r="I15" s="48">
        <v>201</v>
      </c>
      <c r="J15" s="48" t="e" vm="9">
        <v>#VALUE!</v>
      </c>
      <c r="K15" s="48" t="e" cm="1" vm="10">
        <f t="array" aca="1" ref="K15" ca="1">_FV(Table2[[#This Row],[City]],"Country/region",TRUE)</f>
        <v>#VALUE!</v>
      </c>
      <c r="L15" s="48">
        <f>Table2[[#This Row],[Quantity]]*Table2[[#This Row],[Price]]</f>
        <v>1002.99</v>
      </c>
      <c r="O15" s="45"/>
      <c r="P15" s="45"/>
      <c r="Q15" s="45"/>
      <c r="R15" s="45"/>
    </row>
    <row r="16" spans="2:22" x14ac:dyDescent="0.25">
      <c r="B16" s="48">
        <v>10465</v>
      </c>
      <c r="C16" s="62">
        <v>44875</v>
      </c>
      <c r="D16" s="47" t="s">
        <v>15</v>
      </c>
      <c r="E16" s="48">
        <v>12.99</v>
      </c>
      <c r="F16" s="48" t="s">
        <v>14</v>
      </c>
      <c r="G16" s="48" t="s">
        <v>16</v>
      </c>
      <c r="H16" s="48" t="s">
        <v>20</v>
      </c>
      <c r="I16" s="48">
        <v>555</v>
      </c>
      <c r="J16" s="48" t="e" vm="3">
        <v>#VALUE!</v>
      </c>
      <c r="K16" s="48" t="e" cm="1" vm="4">
        <f t="array" aca="1" ref="K16" ca="1">_FV(Table2[[#This Row],[City]],"Country/region",TRUE)</f>
        <v>#VALUE!</v>
      </c>
      <c r="L16" s="48">
        <f>Table2[[#This Row],[Quantity]]*Table2[[#This Row],[Price]]</f>
        <v>7209.45</v>
      </c>
      <c r="O16" s="45"/>
      <c r="P16" s="45"/>
      <c r="Q16" s="45"/>
      <c r="R16" s="45"/>
    </row>
    <row r="17" spans="2:18" x14ac:dyDescent="0.25">
      <c r="B17" s="48">
        <v>10466</v>
      </c>
      <c r="C17" s="62">
        <v>44875</v>
      </c>
      <c r="D17" s="47" t="s">
        <v>18</v>
      </c>
      <c r="E17" s="48">
        <v>9.9499999999999993</v>
      </c>
      <c r="F17" s="48" t="s">
        <v>14</v>
      </c>
      <c r="G17" s="48" t="s">
        <v>16</v>
      </c>
      <c r="H17" s="48" t="s">
        <v>20</v>
      </c>
      <c r="I17" s="48">
        <v>202</v>
      </c>
      <c r="J17" s="48" t="e" vm="3">
        <v>#VALUE!</v>
      </c>
      <c r="K17" s="48" t="e" cm="1" vm="4">
        <f t="array" aca="1" ref="K17" ca="1">_FV(Table2[[#This Row],[City]],"Country/region",TRUE)</f>
        <v>#VALUE!</v>
      </c>
      <c r="L17" s="48">
        <f>Table2[[#This Row],[Quantity]]*Table2[[#This Row],[Price]]</f>
        <v>2009.8999999999999</v>
      </c>
      <c r="O17" s="45"/>
      <c r="P17" s="45"/>
      <c r="Q17" s="45"/>
      <c r="R17" s="45"/>
    </row>
    <row r="18" spans="2:18" x14ac:dyDescent="0.25">
      <c r="B18" s="48">
        <v>10467</v>
      </c>
      <c r="C18" s="62">
        <v>44875</v>
      </c>
      <c r="D18" s="47" t="s">
        <v>9</v>
      </c>
      <c r="E18" s="48">
        <v>3.49</v>
      </c>
      <c r="F18" s="48" t="s">
        <v>14</v>
      </c>
      <c r="G18" s="48" t="s">
        <v>16</v>
      </c>
      <c r="H18" s="48" t="s">
        <v>20</v>
      </c>
      <c r="I18" s="48">
        <v>574</v>
      </c>
      <c r="J18" s="48" t="e" vm="3">
        <v>#VALUE!</v>
      </c>
      <c r="K18" s="48" t="e" cm="1" vm="4">
        <f t="array" aca="1" ref="K18" ca="1">_FV(Table2[[#This Row],[City]],"Country/region",TRUE)</f>
        <v>#VALUE!</v>
      </c>
      <c r="L18" s="48">
        <f>Table2[[#This Row],[Quantity]]*Table2[[#This Row],[Price]]</f>
        <v>2003.2600000000002</v>
      </c>
      <c r="O18" s="45"/>
      <c r="P18" s="45"/>
      <c r="Q18" s="45"/>
      <c r="R18" s="45"/>
    </row>
    <row r="19" spans="2:18" ht="15.75" customHeight="1" x14ac:dyDescent="0.25">
      <c r="B19" s="48">
        <v>10468</v>
      </c>
      <c r="C19" s="62">
        <v>44875</v>
      </c>
      <c r="D19" s="47" t="s">
        <v>12</v>
      </c>
      <c r="E19" s="48">
        <v>2.95</v>
      </c>
      <c r="F19" s="48" t="s">
        <v>14</v>
      </c>
      <c r="G19" s="48" t="s">
        <v>16</v>
      </c>
      <c r="H19" s="48" t="s">
        <v>20</v>
      </c>
      <c r="I19" s="48">
        <v>678</v>
      </c>
      <c r="J19" s="48" t="e" vm="3">
        <v>#VALUE!</v>
      </c>
      <c r="K19" s="48" t="e" cm="1" vm="4">
        <f t="array" aca="1" ref="K19" ca="1">_FV(Table2[[#This Row],[City]],"Country/region",TRUE)</f>
        <v>#VALUE!</v>
      </c>
      <c r="L19" s="48">
        <f>Table2[[#This Row],[Quantity]]*Table2[[#This Row],[Price]]</f>
        <v>2000.1000000000001</v>
      </c>
    </row>
    <row r="20" spans="2:18" ht="15.75" customHeight="1" x14ac:dyDescent="0.25">
      <c r="B20" s="48">
        <v>10468</v>
      </c>
      <c r="C20" s="62">
        <v>44875</v>
      </c>
      <c r="D20" s="47" t="s">
        <v>12</v>
      </c>
      <c r="E20" s="48">
        <v>2.95</v>
      </c>
      <c r="F20" s="48" t="s">
        <v>14</v>
      </c>
      <c r="G20" s="48" t="s">
        <v>16</v>
      </c>
      <c r="H20" s="48" t="s">
        <v>20</v>
      </c>
      <c r="I20" s="48">
        <v>678</v>
      </c>
      <c r="J20" s="48" t="e" vm="3">
        <v>#VALUE!</v>
      </c>
      <c r="K20" s="48" t="e" cm="1" vm="4">
        <f t="array" aca="1" ref="K20" ca="1">_FV(Table2[[#This Row],[City]],"Country/region",TRUE)</f>
        <v>#VALUE!</v>
      </c>
      <c r="L20" s="48">
        <f>Table2[[#This Row],[Quantity]]*Table2[[#This Row],[Price]]</f>
        <v>2000.1000000000001</v>
      </c>
      <c r="O20" s="45" t="s">
        <v>44</v>
      </c>
      <c r="P20" s="45"/>
      <c r="Q20" s="45"/>
      <c r="R20" s="45"/>
    </row>
    <row r="21" spans="2:18" x14ac:dyDescent="0.25">
      <c r="B21" s="48">
        <v>10470</v>
      </c>
      <c r="C21" s="62">
        <v>44876</v>
      </c>
      <c r="D21" s="47" t="s">
        <v>15</v>
      </c>
      <c r="E21" s="48">
        <v>12.99</v>
      </c>
      <c r="F21" s="48" t="s">
        <v>14</v>
      </c>
      <c r="G21" s="48" t="s">
        <v>16</v>
      </c>
      <c r="H21" s="48" t="s">
        <v>20</v>
      </c>
      <c r="I21" s="48">
        <v>555</v>
      </c>
      <c r="J21" s="48" t="e" vm="3">
        <v>#VALUE!</v>
      </c>
      <c r="K21" s="48" t="e" cm="1" vm="4">
        <f t="array" aca="1" ref="K21" ca="1">_FV(Table2[[#This Row],[City]],"Country/region",TRUE)</f>
        <v>#VALUE!</v>
      </c>
      <c r="L21" s="48">
        <f>Table2[[#This Row],[Quantity]]*Table2[[#This Row],[Price]]</f>
        <v>7209.45</v>
      </c>
      <c r="O21" s="45"/>
      <c r="P21" s="45"/>
      <c r="Q21" s="45"/>
      <c r="R21" s="45"/>
    </row>
    <row r="22" spans="2:18" x14ac:dyDescent="0.25">
      <c r="B22" s="48">
        <v>10471</v>
      </c>
      <c r="C22" s="62">
        <v>44876</v>
      </c>
      <c r="D22" s="47" t="s">
        <v>18</v>
      </c>
      <c r="E22" s="48">
        <v>9.9499999999999993</v>
      </c>
      <c r="F22" s="48" t="s">
        <v>14</v>
      </c>
      <c r="G22" s="48" t="s">
        <v>16</v>
      </c>
      <c r="H22" s="48" t="s">
        <v>20</v>
      </c>
      <c r="I22" s="48">
        <v>202</v>
      </c>
      <c r="J22" s="48" t="e" vm="3">
        <v>#VALUE!</v>
      </c>
      <c r="K22" s="48" t="e" cm="1" vm="4">
        <f t="array" aca="1" ref="K22" ca="1">_FV(Table2[[#This Row],[City]],"Country/region",TRUE)</f>
        <v>#VALUE!</v>
      </c>
      <c r="L22" s="48">
        <f>Table2[[#This Row],[Quantity]]*Table2[[#This Row],[Price]]</f>
        <v>2009.8999999999999</v>
      </c>
      <c r="O22" s="45"/>
      <c r="P22" s="45"/>
      <c r="Q22" s="45"/>
      <c r="R22" s="45"/>
    </row>
    <row r="23" spans="2:18" x14ac:dyDescent="0.25">
      <c r="B23" s="48">
        <v>10472</v>
      </c>
      <c r="C23" s="62">
        <v>44876</v>
      </c>
      <c r="D23" s="47" t="s">
        <v>9</v>
      </c>
      <c r="E23" s="48">
        <v>3.49</v>
      </c>
      <c r="F23" s="48" t="s">
        <v>14</v>
      </c>
      <c r="G23" s="48" t="s">
        <v>16</v>
      </c>
      <c r="H23" s="48" t="s">
        <v>20</v>
      </c>
      <c r="I23" s="48">
        <v>631</v>
      </c>
      <c r="J23" s="48" t="e" vm="3">
        <v>#VALUE!</v>
      </c>
      <c r="K23" s="48" t="e" cm="1" vm="4">
        <f t="array" aca="1" ref="K23" ca="1">_FV(Table2[[#This Row],[City]],"Country/region",TRUE)</f>
        <v>#VALUE!</v>
      </c>
      <c r="L23" s="48">
        <f>Table2[[#This Row],[Quantity]]*Table2[[#This Row],[Price]]</f>
        <v>2202.19</v>
      </c>
      <c r="O23" s="45"/>
      <c r="P23" s="45"/>
      <c r="Q23" s="45"/>
      <c r="R23" s="45"/>
    </row>
    <row r="24" spans="2:18" x14ac:dyDescent="0.25">
      <c r="B24" s="48">
        <v>10473</v>
      </c>
      <c r="C24" s="62">
        <v>44876</v>
      </c>
      <c r="D24" s="47" t="s">
        <v>12</v>
      </c>
      <c r="E24" s="48">
        <v>2.95</v>
      </c>
      <c r="F24" s="48" t="s">
        <v>14</v>
      </c>
      <c r="G24" s="48" t="s">
        <v>16</v>
      </c>
      <c r="H24" s="48" t="s">
        <v>20</v>
      </c>
      <c r="I24" s="48">
        <v>678</v>
      </c>
      <c r="J24" s="48" t="e" vm="3">
        <v>#VALUE!</v>
      </c>
      <c r="K24" s="48" t="e" cm="1" vm="4">
        <f t="array" aca="1" ref="K24" ca="1">_FV(Table2[[#This Row],[City]],"Country/region",TRUE)</f>
        <v>#VALUE!</v>
      </c>
      <c r="L24" s="48">
        <f>Table2[[#This Row],[Quantity]]*Table2[[#This Row],[Price]]</f>
        <v>2000.1000000000001</v>
      </c>
      <c r="O24" s="45"/>
      <c r="P24" s="45"/>
      <c r="Q24" s="45"/>
      <c r="R24" s="45"/>
    </row>
    <row r="25" spans="2:18" x14ac:dyDescent="0.25">
      <c r="B25" s="48">
        <v>10474</v>
      </c>
      <c r="C25" s="62">
        <v>44876</v>
      </c>
      <c r="D25" s="47" t="s">
        <v>13</v>
      </c>
      <c r="E25" s="48">
        <v>4.99</v>
      </c>
      <c r="F25" s="48" t="s">
        <v>14</v>
      </c>
      <c r="G25" s="48" t="s">
        <v>16</v>
      </c>
      <c r="H25" s="48" t="s">
        <v>20</v>
      </c>
      <c r="I25" s="48">
        <v>201</v>
      </c>
      <c r="J25" s="48" t="e" vm="3">
        <v>#VALUE!</v>
      </c>
      <c r="K25" s="48" t="e" cm="1" vm="4">
        <f t="array" aca="1" ref="K25" ca="1">_FV(Table2[[#This Row],[City]],"Country/region",TRUE)</f>
        <v>#VALUE!</v>
      </c>
      <c r="L25" s="48">
        <f>Table2[[#This Row],[Quantity]]*Table2[[#This Row],[Price]]</f>
        <v>1002.99</v>
      </c>
      <c r="O25" s="45"/>
      <c r="P25" s="45"/>
      <c r="Q25" s="45"/>
      <c r="R25" s="45"/>
    </row>
    <row r="26" spans="2:18" x14ac:dyDescent="0.25">
      <c r="B26" s="48">
        <v>10475</v>
      </c>
      <c r="C26" s="62">
        <v>44877</v>
      </c>
      <c r="D26" s="47" t="s">
        <v>15</v>
      </c>
      <c r="E26" s="48">
        <v>12.99</v>
      </c>
      <c r="F26" s="48" t="s">
        <v>14</v>
      </c>
      <c r="G26" s="48" t="s">
        <v>16</v>
      </c>
      <c r="H26" s="48" t="s">
        <v>20</v>
      </c>
      <c r="I26" s="48">
        <v>524</v>
      </c>
      <c r="J26" s="48" t="e" vm="3">
        <v>#VALUE!</v>
      </c>
      <c r="K26" s="48" t="e" cm="1" vm="4">
        <f t="array" aca="1" ref="K26" ca="1">_FV(Table2[[#This Row],[City]],"Country/region",TRUE)</f>
        <v>#VALUE!</v>
      </c>
      <c r="L26" s="48">
        <f>Table2[[#This Row],[Quantity]]*Table2[[#This Row],[Price]]</f>
        <v>6806.76</v>
      </c>
      <c r="O26" s="45"/>
      <c r="P26" s="45"/>
      <c r="Q26" s="45"/>
      <c r="R26" s="45"/>
    </row>
    <row r="27" spans="2:18" x14ac:dyDescent="0.25">
      <c r="B27" s="48">
        <v>10476</v>
      </c>
      <c r="C27" s="62">
        <v>44877</v>
      </c>
      <c r="D27" s="47" t="s">
        <v>18</v>
      </c>
      <c r="E27" s="48">
        <v>9.9499999999999993</v>
      </c>
      <c r="F27" s="48" t="s">
        <v>14</v>
      </c>
      <c r="G27" s="48" t="s">
        <v>16</v>
      </c>
      <c r="H27" s="48" t="s">
        <v>20</v>
      </c>
      <c r="I27" s="48">
        <v>202</v>
      </c>
      <c r="J27" s="48" t="e" vm="3">
        <v>#VALUE!</v>
      </c>
      <c r="K27" s="48" t="e" cm="1" vm="4">
        <f t="array" aca="1" ref="K27" ca="1">_FV(Table2[[#This Row],[City]],"Country/region",TRUE)</f>
        <v>#VALUE!</v>
      </c>
      <c r="L27" s="48">
        <f>Table2[[#This Row],[Quantity]]*Table2[[#This Row],[Price]]</f>
        <v>2009.8999999999999</v>
      </c>
      <c r="O27" s="45"/>
      <c r="P27" s="45"/>
      <c r="Q27" s="45"/>
      <c r="R27" s="45"/>
    </row>
    <row r="28" spans="2:18" ht="15.75" customHeight="1" x14ac:dyDescent="0.25">
      <c r="B28" s="48">
        <v>10477</v>
      </c>
      <c r="C28" s="62">
        <v>44877</v>
      </c>
      <c r="D28" s="47" t="s">
        <v>9</v>
      </c>
      <c r="E28" s="48">
        <v>3.49</v>
      </c>
      <c r="F28" s="48" t="s">
        <v>14</v>
      </c>
      <c r="G28" s="48" t="s">
        <v>16</v>
      </c>
      <c r="H28" s="48" t="s">
        <v>20</v>
      </c>
      <c r="I28" s="48">
        <v>631</v>
      </c>
      <c r="J28" s="48" t="e" vm="3">
        <v>#VALUE!</v>
      </c>
      <c r="K28" s="48" t="e" cm="1" vm="4">
        <f t="array" aca="1" ref="K28" ca="1">_FV(Table2[[#This Row],[City]],"Country/region",TRUE)</f>
        <v>#VALUE!</v>
      </c>
      <c r="L28" s="48">
        <f>Table2[[#This Row],[Quantity]]*Table2[[#This Row],[Price]]</f>
        <v>2202.19</v>
      </c>
      <c r="O28" s="50"/>
      <c r="P28" s="50"/>
      <c r="Q28" s="50"/>
      <c r="R28" s="50"/>
    </row>
    <row r="29" spans="2:18" x14ac:dyDescent="0.25">
      <c r="B29" s="48">
        <v>10478</v>
      </c>
      <c r="C29" s="62">
        <v>44877</v>
      </c>
      <c r="D29" s="47" t="s">
        <v>12</v>
      </c>
      <c r="E29" s="48">
        <v>2.95</v>
      </c>
      <c r="F29" s="48" t="s">
        <v>14</v>
      </c>
      <c r="G29" s="48" t="s">
        <v>16</v>
      </c>
      <c r="H29" s="48" t="s">
        <v>20</v>
      </c>
      <c r="I29" s="48">
        <v>678</v>
      </c>
      <c r="J29" s="48" t="e" vm="3">
        <v>#VALUE!</v>
      </c>
      <c r="K29" s="48" t="e" cm="1" vm="4">
        <f t="array" aca="1" ref="K29" ca="1">_FV(Table2[[#This Row],[City]],"Country/region",TRUE)</f>
        <v>#VALUE!</v>
      </c>
      <c r="L29" s="48">
        <f>Table2[[#This Row],[Quantity]]*Table2[[#This Row],[Price]]</f>
        <v>2000.1000000000001</v>
      </c>
      <c r="O29" s="45" t="s">
        <v>46</v>
      </c>
      <c r="P29" s="45"/>
      <c r="Q29" s="45"/>
      <c r="R29" s="45"/>
    </row>
    <row r="30" spans="2:18" x14ac:dyDescent="0.25">
      <c r="B30" s="48">
        <v>10479</v>
      </c>
      <c r="C30" s="62">
        <v>44877</v>
      </c>
      <c r="D30" s="47" t="s">
        <v>13</v>
      </c>
      <c r="E30" s="48">
        <v>4.99</v>
      </c>
      <c r="F30" s="48" t="s">
        <v>14</v>
      </c>
      <c r="G30" s="48" t="s">
        <v>16</v>
      </c>
      <c r="H30" s="48" t="s">
        <v>20</v>
      </c>
      <c r="I30" s="48">
        <v>201</v>
      </c>
      <c r="J30" s="48" t="e" vm="3">
        <v>#VALUE!</v>
      </c>
      <c r="K30" s="48" t="e" cm="1" vm="4">
        <f t="array" aca="1" ref="K30" ca="1">_FV(Table2[[#This Row],[City]],"Country/region",TRUE)</f>
        <v>#VALUE!</v>
      </c>
      <c r="L30" s="48">
        <f>Table2[[#This Row],[Quantity]]*Table2[[#This Row],[Price]]</f>
        <v>1002.99</v>
      </c>
      <c r="O30" s="45"/>
      <c r="P30" s="45"/>
      <c r="Q30" s="45"/>
      <c r="R30" s="45"/>
    </row>
    <row r="31" spans="2:18" x14ac:dyDescent="0.25">
      <c r="B31" s="48">
        <v>10480</v>
      </c>
      <c r="C31" s="62">
        <v>44878</v>
      </c>
      <c r="D31" s="47" t="s">
        <v>15</v>
      </c>
      <c r="E31" s="48">
        <v>12.99</v>
      </c>
      <c r="F31" s="48" t="s">
        <v>14</v>
      </c>
      <c r="G31" s="48" t="s">
        <v>16</v>
      </c>
      <c r="H31" s="48" t="s">
        <v>20</v>
      </c>
      <c r="I31" s="48">
        <v>509</v>
      </c>
      <c r="J31" s="48" t="e" vm="3">
        <v>#VALUE!</v>
      </c>
      <c r="K31" s="48" t="e" cm="1" vm="4">
        <f t="array" aca="1" ref="K31" ca="1">_FV(Table2[[#This Row],[City]],"Country/region",TRUE)</f>
        <v>#VALUE!</v>
      </c>
      <c r="L31" s="48">
        <f>Table2[[#This Row],[Quantity]]*Table2[[#This Row],[Price]]</f>
        <v>6611.91</v>
      </c>
      <c r="O31" s="45"/>
      <c r="P31" s="45"/>
      <c r="Q31" s="45"/>
      <c r="R31" s="45"/>
    </row>
    <row r="32" spans="2:18" x14ac:dyDescent="0.25">
      <c r="B32" s="48">
        <v>10481</v>
      </c>
      <c r="C32" s="62">
        <v>44878</v>
      </c>
      <c r="D32" s="47" t="s">
        <v>18</v>
      </c>
      <c r="E32" s="48">
        <v>9.9499999999999993</v>
      </c>
      <c r="F32" s="48" t="s">
        <v>14</v>
      </c>
      <c r="G32" s="48" t="s">
        <v>16</v>
      </c>
      <c r="H32" s="48" t="s">
        <v>20</v>
      </c>
      <c r="I32" s="48">
        <v>202</v>
      </c>
      <c r="J32" s="48" t="e" vm="3">
        <v>#VALUE!</v>
      </c>
      <c r="K32" s="48" t="e" cm="1" vm="4">
        <f t="array" aca="1" ref="K32" ca="1">_FV(Table2[[#This Row],[City]],"Country/region",TRUE)</f>
        <v>#VALUE!</v>
      </c>
      <c r="L32" s="48">
        <f>Table2[[#This Row],[Quantity]]*Table2[[#This Row],[Price]]</f>
        <v>2009.8999999999999</v>
      </c>
      <c r="O32" s="50"/>
      <c r="P32" s="50"/>
      <c r="Q32" s="50"/>
      <c r="R32" s="50"/>
    </row>
    <row r="33" spans="2:19" x14ac:dyDescent="0.25">
      <c r="B33" s="48">
        <v>10482</v>
      </c>
      <c r="C33" s="62">
        <v>44878</v>
      </c>
      <c r="D33" s="47" t="s">
        <v>9</v>
      </c>
      <c r="E33" s="48">
        <v>25.5</v>
      </c>
      <c r="F33" s="48" t="s">
        <v>14</v>
      </c>
      <c r="G33" s="48" t="s">
        <v>16</v>
      </c>
      <c r="H33" s="48" t="s">
        <v>21</v>
      </c>
      <c r="I33" s="48">
        <v>631</v>
      </c>
      <c r="J33" s="48" t="e" vm="5">
        <v>#VALUE!</v>
      </c>
      <c r="K33" s="48" t="e" cm="1" vm="6">
        <f t="array" aca="1" ref="K33" ca="1">_FV(Table2[[#This Row],[City]],"Country/region",TRUE)</f>
        <v>#VALUE!</v>
      </c>
      <c r="L33" s="48">
        <f>Table2[[#This Row],[Quantity]]*Table2[[#This Row],[Price]]</f>
        <v>16090.5</v>
      </c>
      <c r="O33" s="45" t="s">
        <v>47</v>
      </c>
      <c r="P33" s="45"/>
      <c r="Q33" s="45"/>
      <c r="R33" s="45"/>
    </row>
    <row r="34" spans="2:19" x14ac:dyDescent="0.25">
      <c r="B34" s="48">
        <v>10483</v>
      </c>
      <c r="C34" s="62">
        <v>44878</v>
      </c>
      <c r="D34" s="47" t="s">
        <v>12</v>
      </c>
      <c r="E34" s="48">
        <v>33.22</v>
      </c>
      <c r="F34" s="48" t="s">
        <v>14</v>
      </c>
      <c r="G34" s="48" t="s">
        <v>16</v>
      </c>
      <c r="H34" s="48" t="s">
        <v>21</v>
      </c>
      <c r="I34" s="48">
        <v>678</v>
      </c>
      <c r="J34" s="48" t="e" vm="5">
        <v>#VALUE!</v>
      </c>
      <c r="K34" s="48" t="e" cm="1" vm="6">
        <f t="array" aca="1" ref="K34" ca="1">_FV(Table2[[#This Row],[City]],"Country/region",TRUE)</f>
        <v>#VALUE!</v>
      </c>
      <c r="L34" s="48">
        <f>Table2[[#This Row],[Quantity]]*Table2[[#This Row],[Price]]</f>
        <v>22523.16</v>
      </c>
      <c r="O34" s="45"/>
      <c r="P34" s="45"/>
      <c r="Q34" s="45"/>
      <c r="R34" s="45"/>
    </row>
    <row r="35" spans="2:19" x14ac:dyDescent="0.25">
      <c r="B35" s="48">
        <v>10484</v>
      </c>
      <c r="C35" s="62">
        <v>44878</v>
      </c>
      <c r="D35" s="47" t="s">
        <v>13</v>
      </c>
      <c r="E35" s="48">
        <v>21.44</v>
      </c>
      <c r="F35" s="48" t="s">
        <v>14</v>
      </c>
      <c r="G35" s="48" t="s">
        <v>16</v>
      </c>
      <c r="H35" s="48" t="s">
        <v>21</v>
      </c>
      <c r="I35" s="48">
        <v>201</v>
      </c>
      <c r="J35" s="48" t="e" vm="5">
        <v>#VALUE!</v>
      </c>
      <c r="K35" s="48" t="e" cm="1" vm="6">
        <f t="array" aca="1" ref="K35" ca="1">_FV(Table2[[#This Row],[City]],"Country/region",TRUE)</f>
        <v>#VALUE!</v>
      </c>
      <c r="L35" s="48">
        <f>Table2[[#This Row],[Quantity]]*Table2[[#This Row],[Price]]</f>
        <v>4309.4400000000005</v>
      </c>
      <c r="O35" s="45"/>
      <c r="P35" s="45"/>
      <c r="Q35" s="45"/>
      <c r="R35" s="45"/>
    </row>
    <row r="36" spans="2:19" x14ac:dyDescent="0.25">
      <c r="B36" s="48">
        <v>10485</v>
      </c>
      <c r="C36" s="62">
        <v>44879</v>
      </c>
      <c r="D36" s="47" t="s">
        <v>15</v>
      </c>
      <c r="E36" s="48">
        <v>27.99</v>
      </c>
      <c r="F36" s="48" t="s">
        <v>14</v>
      </c>
      <c r="G36" s="48" t="s">
        <v>16</v>
      </c>
      <c r="H36" s="48" t="s">
        <v>21</v>
      </c>
      <c r="I36" s="48">
        <v>524</v>
      </c>
      <c r="J36" s="48" t="e" vm="5">
        <v>#VALUE!</v>
      </c>
      <c r="K36" s="48" t="e" cm="1" vm="6">
        <f t="array" aca="1" ref="K36" ca="1">_FV(Table2[[#This Row],[City]],"Country/region",TRUE)</f>
        <v>#VALUE!</v>
      </c>
      <c r="L36" s="48">
        <f>Table2[[#This Row],[Quantity]]*Table2[[#This Row],[Price]]</f>
        <v>14666.759999999998</v>
      </c>
      <c r="O36" s="50"/>
      <c r="P36" s="50"/>
      <c r="Q36" s="50"/>
      <c r="R36" s="50"/>
    </row>
    <row r="37" spans="2:19" x14ac:dyDescent="0.25">
      <c r="B37" s="48">
        <v>10486</v>
      </c>
      <c r="C37" s="62">
        <v>44879</v>
      </c>
      <c r="D37" s="47" t="s">
        <v>18</v>
      </c>
      <c r="E37" s="48">
        <v>29.05</v>
      </c>
      <c r="F37" s="48" t="s">
        <v>14</v>
      </c>
      <c r="G37" s="48" t="s">
        <v>16</v>
      </c>
      <c r="H37" s="48" t="s">
        <v>21</v>
      </c>
      <c r="I37" s="48">
        <v>202</v>
      </c>
      <c r="J37" s="48" t="e" vm="5">
        <v>#VALUE!</v>
      </c>
      <c r="K37" s="48" t="e" cm="1" vm="6">
        <f t="array" aca="1" ref="K37" ca="1">_FV(Table2[[#This Row],[City]],"Country/region",TRUE)</f>
        <v>#VALUE!</v>
      </c>
      <c r="L37" s="48">
        <f>Table2[[#This Row],[Quantity]]*Table2[[#This Row],[Price]]</f>
        <v>5868.1</v>
      </c>
    </row>
    <row r="38" spans="2:19" ht="16.5" thickBot="1" x14ac:dyDescent="0.3">
      <c r="B38" s="48">
        <v>10487</v>
      </c>
      <c r="C38" s="62">
        <v>44879</v>
      </c>
      <c r="D38" s="47" t="s">
        <v>9</v>
      </c>
      <c r="E38" s="48">
        <v>3.49</v>
      </c>
      <c r="F38" s="48" t="s">
        <v>14</v>
      </c>
      <c r="G38" s="48" t="s">
        <v>16</v>
      </c>
      <c r="H38" s="48" t="s">
        <v>21</v>
      </c>
      <c r="I38" s="48">
        <v>631</v>
      </c>
      <c r="J38" s="48" t="e" vm="5">
        <v>#VALUE!</v>
      </c>
      <c r="K38" s="48" t="e" cm="1" vm="6">
        <f t="array" aca="1" ref="K38" ca="1">_FV(Table2[[#This Row],[City]],"Country/region",TRUE)</f>
        <v>#VALUE!</v>
      </c>
      <c r="L38" s="48">
        <f>Table2[[#This Row],[Quantity]]*Table2[[#This Row],[Price]]</f>
        <v>2202.19</v>
      </c>
    </row>
    <row r="39" spans="2:19" x14ac:dyDescent="0.25">
      <c r="B39" s="48">
        <v>10488</v>
      </c>
      <c r="C39" s="62">
        <v>44879</v>
      </c>
      <c r="D39" s="47" t="s">
        <v>12</v>
      </c>
      <c r="E39" s="48">
        <v>2.95</v>
      </c>
      <c r="F39" s="48" t="s">
        <v>14</v>
      </c>
      <c r="G39" s="48" t="s">
        <v>16</v>
      </c>
      <c r="H39" s="48" t="s">
        <v>21</v>
      </c>
      <c r="I39" s="48">
        <v>678</v>
      </c>
      <c r="J39" s="48" t="e" vm="5">
        <v>#VALUE!</v>
      </c>
      <c r="K39" s="48" t="e" cm="1" vm="6">
        <f t="array" aca="1" ref="K39" ca="1">_FV(Table2[[#This Row],[City]],"Country/region",TRUE)</f>
        <v>#VALUE!</v>
      </c>
      <c r="L39" s="48">
        <f>Table2[[#This Row],[Quantity]]*Table2[[#This Row],[Price]]</f>
        <v>2000.1000000000001</v>
      </c>
      <c r="O39" s="53" t="s">
        <v>3</v>
      </c>
      <c r="P39" s="53"/>
      <c r="R39" s="45" t="s">
        <v>61</v>
      </c>
      <c r="S39" s="45"/>
    </row>
    <row r="40" spans="2:19" x14ac:dyDescent="0.25">
      <c r="B40" s="48">
        <v>10489</v>
      </c>
      <c r="C40" s="62">
        <v>44879</v>
      </c>
      <c r="D40" s="47" t="s">
        <v>13</v>
      </c>
      <c r="E40" s="48">
        <v>4.99</v>
      </c>
      <c r="F40" s="48" t="s">
        <v>14</v>
      </c>
      <c r="G40" s="48" t="s">
        <v>16</v>
      </c>
      <c r="H40" s="48" t="s">
        <v>20</v>
      </c>
      <c r="I40" s="48">
        <v>201</v>
      </c>
      <c r="J40" s="48" t="e" vm="3">
        <v>#VALUE!</v>
      </c>
      <c r="K40" s="48" t="e" cm="1" vm="4">
        <f t="array" aca="1" ref="K40" ca="1">_FV(Table2[[#This Row],[City]],"Country/region",TRUE)</f>
        <v>#VALUE!</v>
      </c>
      <c r="L40" s="48">
        <f>Table2[[#This Row],[Quantity]]*Table2[[#This Row],[Price]]</f>
        <v>1002.99</v>
      </c>
      <c r="O40" s="51"/>
      <c r="P40" s="51"/>
      <c r="R40" s="45"/>
      <c r="S40" s="45"/>
    </row>
    <row r="41" spans="2:19" x14ac:dyDescent="0.25">
      <c r="B41" s="48">
        <v>10490</v>
      </c>
      <c r="C41" s="62">
        <v>44880</v>
      </c>
      <c r="D41" s="47" t="s">
        <v>15</v>
      </c>
      <c r="E41" s="48">
        <v>12.99</v>
      </c>
      <c r="F41" s="48" t="s">
        <v>14</v>
      </c>
      <c r="G41" s="48" t="s">
        <v>16</v>
      </c>
      <c r="H41" s="48" t="s">
        <v>20</v>
      </c>
      <c r="I41" s="48">
        <v>509</v>
      </c>
      <c r="J41" s="48" t="e" vm="3">
        <v>#VALUE!</v>
      </c>
      <c r="K41" s="48" t="e" cm="1" vm="4">
        <f t="array" aca="1" ref="K41" ca="1">_FV(Table2[[#This Row],[City]],"Country/region",TRUE)</f>
        <v>#VALUE!</v>
      </c>
      <c r="L41" s="48">
        <f>Table2[[#This Row],[Quantity]]*Table2[[#This Row],[Price]]</f>
        <v>6611.91</v>
      </c>
      <c r="O41" s="51" t="s">
        <v>48</v>
      </c>
      <c r="P41" s="51">
        <v>7.2691221374045982</v>
      </c>
      <c r="R41" s="45"/>
      <c r="S41" s="45"/>
    </row>
    <row r="42" spans="2:19" x14ac:dyDescent="0.25">
      <c r="B42" s="48">
        <v>10491</v>
      </c>
      <c r="C42" s="62">
        <v>44880</v>
      </c>
      <c r="D42" s="47" t="s">
        <v>18</v>
      </c>
      <c r="E42" s="48">
        <v>9.9499999999999993</v>
      </c>
      <c r="F42" s="48" t="s">
        <v>14</v>
      </c>
      <c r="G42" s="48" t="s">
        <v>16</v>
      </c>
      <c r="H42" s="48" t="s">
        <v>20</v>
      </c>
      <c r="I42" s="48">
        <v>202</v>
      </c>
      <c r="J42" s="48" t="e" vm="3">
        <v>#VALUE!</v>
      </c>
      <c r="K42" s="48" t="e" cm="1" vm="4">
        <f t="array" aca="1" ref="K42" ca="1">_FV(Table2[[#This Row],[City]],"Country/region",TRUE)</f>
        <v>#VALUE!</v>
      </c>
      <c r="L42" s="48">
        <f>Table2[[#This Row],[Quantity]]*Table2[[#This Row],[Price]]</f>
        <v>2009.8999999999999</v>
      </c>
      <c r="O42" s="51" t="s">
        <v>49</v>
      </c>
      <c r="P42" s="51">
        <v>0.29992325698176825</v>
      </c>
      <c r="R42" s="45"/>
      <c r="S42" s="45"/>
    </row>
    <row r="43" spans="2:19" x14ac:dyDescent="0.25">
      <c r="B43" s="48">
        <v>10492</v>
      </c>
      <c r="C43" s="62">
        <v>44880</v>
      </c>
      <c r="D43" s="47" t="s">
        <v>9</v>
      </c>
      <c r="E43" s="48">
        <v>3.49</v>
      </c>
      <c r="F43" s="48" t="s">
        <v>14</v>
      </c>
      <c r="G43" s="48" t="s">
        <v>16</v>
      </c>
      <c r="H43" s="48" t="s">
        <v>20</v>
      </c>
      <c r="I43" s="48">
        <v>574</v>
      </c>
      <c r="J43" s="48" t="e" vm="3">
        <v>#VALUE!</v>
      </c>
      <c r="K43" s="48" t="e" cm="1" vm="4">
        <f t="array" aca="1" ref="K43" ca="1">_FV(Table2[[#This Row],[City]],"Country/region",TRUE)</f>
        <v>#VALUE!</v>
      </c>
      <c r="L43" s="48">
        <f>Table2[[#This Row],[Quantity]]*Table2[[#This Row],[Price]]</f>
        <v>2003.2600000000002</v>
      </c>
      <c r="O43" s="51" t="s">
        <v>50</v>
      </c>
      <c r="P43" s="51">
        <v>4.99</v>
      </c>
      <c r="R43" s="45"/>
      <c r="S43" s="45"/>
    </row>
    <row r="44" spans="2:19" x14ac:dyDescent="0.25">
      <c r="B44" s="48">
        <v>10493</v>
      </c>
      <c r="C44" s="62">
        <v>44880</v>
      </c>
      <c r="D44" s="47" t="s">
        <v>12</v>
      </c>
      <c r="E44" s="48">
        <v>2.95</v>
      </c>
      <c r="F44" s="48" t="s">
        <v>14</v>
      </c>
      <c r="G44" s="48" t="s">
        <v>16</v>
      </c>
      <c r="H44" s="48" t="s">
        <v>20</v>
      </c>
      <c r="I44" s="48">
        <v>678</v>
      </c>
      <c r="J44" s="48" t="e" vm="3">
        <v>#VALUE!</v>
      </c>
      <c r="K44" s="48" t="e" cm="1" vm="4">
        <f t="array" aca="1" ref="K44" ca="1">_FV(Table2[[#This Row],[City]],"Country/region",TRUE)</f>
        <v>#VALUE!</v>
      </c>
      <c r="L44" s="48">
        <f>Table2[[#This Row],[Quantity]]*Table2[[#This Row],[Price]]</f>
        <v>2000.1000000000001</v>
      </c>
      <c r="O44" s="51" t="s">
        <v>51</v>
      </c>
      <c r="P44" s="51">
        <v>3.49</v>
      </c>
      <c r="R44" s="45"/>
      <c r="S44" s="45"/>
    </row>
    <row r="45" spans="2:19" x14ac:dyDescent="0.25">
      <c r="B45" s="48">
        <v>10494</v>
      </c>
      <c r="C45" s="62">
        <v>44880</v>
      </c>
      <c r="D45" s="47" t="s">
        <v>13</v>
      </c>
      <c r="E45" s="48">
        <v>4.99</v>
      </c>
      <c r="F45" s="48" t="s">
        <v>14</v>
      </c>
      <c r="G45" s="48" t="s">
        <v>16</v>
      </c>
      <c r="H45" s="48" t="s">
        <v>20</v>
      </c>
      <c r="I45" s="48">
        <v>201</v>
      </c>
      <c r="J45" s="48" t="e" vm="3">
        <v>#VALUE!</v>
      </c>
      <c r="K45" s="48" t="e" cm="1" vm="4">
        <f t="array" aca="1" ref="K45" ca="1">_FV(Table2[[#This Row],[City]],"Country/region",TRUE)</f>
        <v>#VALUE!</v>
      </c>
      <c r="L45" s="48">
        <f>Table2[[#This Row],[Quantity]]*Table2[[#This Row],[Price]]</f>
        <v>1002.99</v>
      </c>
      <c r="O45" s="51" t="s">
        <v>52</v>
      </c>
      <c r="P45" s="51">
        <v>4.8546820226025691</v>
      </c>
      <c r="R45" s="45"/>
      <c r="S45" s="45"/>
    </row>
    <row r="46" spans="2:19" x14ac:dyDescent="0.25">
      <c r="B46" s="48">
        <v>10495</v>
      </c>
      <c r="C46" s="62">
        <v>44881</v>
      </c>
      <c r="D46" s="47" t="s">
        <v>15</v>
      </c>
      <c r="E46" s="48">
        <v>12.99</v>
      </c>
      <c r="F46" s="48" t="s">
        <v>14</v>
      </c>
      <c r="G46" s="48" t="s">
        <v>16</v>
      </c>
      <c r="H46" s="48" t="s">
        <v>20</v>
      </c>
      <c r="I46" s="48">
        <v>509</v>
      </c>
      <c r="J46" s="48" t="e" vm="3">
        <v>#VALUE!</v>
      </c>
      <c r="K46" s="48" t="e" cm="1" vm="4">
        <f t="array" aca="1" ref="K46" ca="1">_FV(Table2[[#This Row],[City]],"Country/region",TRUE)</f>
        <v>#VALUE!</v>
      </c>
      <c r="L46" s="48">
        <f>Table2[[#This Row],[Quantity]]*Table2[[#This Row],[Price]]</f>
        <v>6611.91</v>
      </c>
      <c r="O46" s="51" t="s">
        <v>53</v>
      </c>
      <c r="P46" s="51">
        <v>23.567937540580573</v>
      </c>
      <c r="R46" s="45"/>
      <c r="S46" s="45"/>
    </row>
    <row r="47" spans="2:19" x14ac:dyDescent="0.25">
      <c r="B47" s="48">
        <v>10496</v>
      </c>
      <c r="C47" s="62">
        <v>44881</v>
      </c>
      <c r="D47" s="47" t="s">
        <v>18</v>
      </c>
      <c r="E47" s="48">
        <v>9.9499999999999993</v>
      </c>
      <c r="F47" s="48" t="s">
        <v>14</v>
      </c>
      <c r="G47" s="48" t="s">
        <v>16</v>
      </c>
      <c r="H47" s="48" t="s">
        <v>20</v>
      </c>
      <c r="I47" s="48">
        <v>202</v>
      </c>
      <c r="J47" s="48" t="e" vm="3">
        <v>#VALUE!</v>
      </c>
      <c r="K47" s="48" t="e" cm="1" vm="4">
        <f t="array" aca="1" ref="K47" ca="1">_FV(Table2[[#This Row],[City]],"Country/region",TRUE)</f>
        <v>#VALUE!</v>
      </c>
      <c r="L47" s="48">
        <f>Table2[[#This Row],[Quantity]]*Table2[[#This Row],[Price]]</f>
        <v>2009.8999999999999</v>
      </c>
      <c r="O47" s="51" t="s">
        <v>54</v>
      </c>
      <c r="P47" s="51">
        <v>4.7442878382474785</v>
      </c>
      <c r="R47" s="45"/>
      <c r="S47" s="45"/>
    </row>
    <row r="48" spans="2:19" x14ac:dyDescent="0.25">
      <c r="B48" s="48">
        <v>10497</v>
      </c>
      <c r="C48" s="62">
        <v>44881</v>
      </c>
      <c r="D48" s="47" t="s">
        <v>9</v>
      </c>
      <c r="E48" s="48">
        <v>3.49</v>
      </c>
      <c r="F48" s="48" t="s">
        <v>14</v>
      </c>
      <c r="G48" s="48" t="s">
        <v>16</v>
      </c>
      <c r="H48" s="48" t="s">
        <v>20</v>
      </c>
      <c r="I48" s="48">
        <v>574</v>
      </c>
      <c r="J48" s="48" t="e" vm="3">
        <v>#VALUE!</v>
      </c>
      <c r="K48" s="48" t="e" cm="1" vm="4">
        <f t="array" aca="1" ref="K48" ca="1">_FV(Table2[[#This Row],[City]],"Country/region",TRUE)</f>
        <v>#VALUE!</v>
      </c>
      <c r="L48" s="48">
        <f>Table2[[#This Row],[Quantity]]*Table2[[#This Row],[Price]]</f>
        <v>2003.2600000000002</v>
      </c>
      <c r="O48" s="51" t="s">
        <v>55</v>
      </c>
      <c r="P48" s="51">
        <v>1.6447757638390159</v>
      </c>
      <c r="R48" s="45"/>
      <c r="S48" s="45"/>
    </row>
    <row r="49" spans="2:19" x14ac:dyDescent="0.25">
      <c r="B49" s="48">
        <v>10498</v>
      </c>
      <c r="C49" s="62">
        <v>44881</v>
      </c>
      <c r="D49" s="47" t="s">
        <v>12</v>
      </c>
      <c r="E49" s="48">
        <v>2.95</v>
      </c>
      <c r="F49" s="48" t="s">
        <v>22</v>
      </c>
      <c r="G49" s="48" t="s">
        <v>16</v>
      </c>
      <c r="H49" s="48" t="s">
        <v>20</v>
      </c>
      <c r="I49" s="48">
        <v>678</v>
      </c>
      <c r="J49" s="48" t="e" vm="3">
        <v>#VALUE!</v>
      </c>
      <c r="K49" s="48" t="e" cm="1" vm="4">
        <f t="array" aca="1" ref="K49" ca="1">_FV(Table2[[#This Row],[City]],"Country/region",TRUE)</f>
        <v>#VALUE!</v>
      </c>
      <c r="L49" s="48">
        <f>Table2[[#This Row],[Quantity]]*Table2[[#This Row],[Price]]</f>
        <v>2000.1000000000001</v>
      </c>
      <c r="O49" s="51" t="s">
        <v>56</v>
      </c>
      <c r="P49" s="51">
        <v>30.27</v>
      </c>
      <c r="R49" s="45"/>
      <c r="S49" s="45"/>
    </row>
    <row r="50" spans="2:19" x14ac:dyDescent="0.25">
      <c r="B50" s="48">
        <v>10499</v>
      </c>
      <c r="C50" s="62">
        <v>44881</v>
      </c>
      <c r="D50" s="47" t="s">
        <v>13</v>
      </c>
      <c r="E50" s="48">
        <v>4.99</v>
      </c>
      <c r="F50" s="48" t="s">
        <v>22</v>
      </c>
      <c r="G50" s="48" t="s">
        <v>16</v>
      </c>
      <c r="H50" s="48" t="s">
        <v>20</v>
      </c>
      <c r="I50" s="48">
        <v>201</v>
      </c>
      <c r="J50" s="48" t="e" vm="3">
        <v>#VALUE!</v>
      </c>
      <c r="K50" s="48" t="e" cm="1" vm="4">
        <f t="array" aca="1" ref="K50" ca="1">_FV(Table2[[#This Row],[City]],"Country/region",TRUE)</f>
        <v>#VALUE!</v>
      </c>
      <c r="L50" s="48">
        <f>Table2[[#This Row],[Quantity]]*Table2[[#This Row],[Price]]</f>
        <v>1002.99</v>
      </c>
      <c r="O50" s="51" t="s">
        <v>57</v>
      </c>
      <c r="P50" s="51">
        <v>2.95</v>
      </c>
      <c r="R50" s="45"/>
      <c r="S50" s="45"/>
    </row>
    <row r="51" spans="2:19" x14ac:dyDescent="0.25">
      <c r="B51" s="48">
        <v>10500</v>
      </c>
      <c r="C51" s="62">
        <v>44882</v>
      </c>
      <c r="D51" s="47" t="s">
        <v>15</v>
      </c>
      <c r="E51" s="48">
        <v>12.99</v>
      </c>
      <c r="F51" s="48" t="s">
        <v>22</v>
      </c>
      <c r="G51" s="48" t="s">
        <v>16</v>
      </c>
      <c r="H51" s="48" t="s">
        <v>20</v>
      </c>
      <c r="I51" s="48">
        <v>524</v>
      </c>
      <c r="J51" s="48" t="e" vm="3">
        <v>#VALUE!</v>
      </c>
      <c r="K51" s="48" t="e" cm="1" vm="4">
        <f t="array" aca="1" ref="K51" ca="1">_FV(Table2[[#This Row],[City]],"Country/region",TRUE)</f>
        <v>#VALUE!</v>
      </c>
      <c r="L51" s="48">
        <f>Table2[[#This Row],[Quantity]]*Table2[[#This Row],[Price]]</f>
        <v>6806.76</v>
      </c>
      <c r="O51" s="51" t="s">
        <v>58</v>
      </c>
      <c r="P51" s="51">
        <v>33.22</v>
      </c>
      <c r="R51" s="45"/>
      <c r="S51" s="45"/>
    </row>
    <row r="52" spans="2:19" x14ac:dyDescent="0.25">
      <c r="B52" s="48">
        <v>10501</v>
      </c>
      <c r="C52" s="62">
        <v>44882</v>
      </c>
      <c r="D52" s="47" t="s">
        <v>18</v>
      </c>
      <c r="E52" s="48">
        <v>9.9499999999999993</v>
      </c>
      <c r="F52" s="48" t="s">
        <v>22</v>
      </c>
      <c r="G52" s="48" t="s">
        <v>16</v>
      </c>
      <c r="H52" s="48" t="s">
        <v>20</v>
      </c>
      <c r="I52" s="48">
        <v>202</v>
      </c>
      <c r="J52" s="48" t="e" vm="3">
        <v>#VALUE!</v>
      </c>
      <c r="K52" s="48" t="e" cm="1" vm="4">
        <f t="array" aca="1" ref="K52" ca="1">_FV(Table2[[#This Row],[City]],"Country/region",TRUE)</f>
        <v>#VALUE!</v>
      </c>
      <c r="L52" s="48">
        <f>Table2[[#This Row],[Quantity]]*Table2[[#This Row],[Price]]</f>
        <v>2009.8999999999999</v>
      </c>
      <c r="O52" s="51" t="s">
        <v>59</v>
      </c>
      <c r="P52" s="51">
        <v>1904.5100000000048</v>
      </c>
      <c r="R52" s="45"/>
      <c r="S52" s="45"/>
    </row>
    <row r="53" spans="2:19" ht="16.5" thickBot="1" x14ac:dyDescent="0.3">
      <c r="B53" s="48">
        <v>10502</v>
      </c>
      <c r="C53" s="62">
        <v>44882</v>
      </c>
      <c r="D53" s="47" t="s">
        <v>9</v>
      </c>
      <c r="E53" s="48">
        <v>3.49</v>
      </c>
      <c r="F53" s="48" t="s">
        <v>22</v>
      </c>
      <c r="G53" s="48" t="s">
        <v>16</v>
      </c>
      <c r="H53" s="48" t="s">
        <v>20</v>
      </c>
      <c r="I53" s="48">
        <v>631</v>
      </c>
      <c r="J53" s="48" t="e" vm="3">
        <v>#VALUE!</v>
      </c>
      <c r="K53" s="48" t="e" cm="1" vm="4">
        <f t="array" aca="1" ref="K53" ca="1">_FV(Table2[[#This Row],[City]],"Country/region",TRUE)</f>
        <v>#VALUE!</v>
      </c>
      <c r="L53" s="48">
        <f>Table2[[#This Row],[Quantity]]*Table2[[#This Row],[Price]]</f>
        <v>2202.19</v>
      </c>
      <c r="O53" s="52" t="s">
        <v>60</v>
      </c>
      <c r="P53" s="52">
        <v>262</v>
      </c>
      <c r="R53" s="50"/>
    </row>
    <row r="54" spans="2:19" x14ac:dyDescent="0.25">
      <c r="B54" s="48">
        <v>10503</v>
      </c>
      <c r="C54" s="62">
        <v>44882</v>
      </c>
      <c r="D54" s="47" t="s">
        <v>12</v>
      </c>
      <c r="E54" s="48">
        <v>2.95</v>
      </c>
      <c r="F54" s="48" t="s">
        <v>22</v>
      </c>
      <c r="G54" s="48" t="s">
        <v>16</v>
      </c>
      <c r="H54" s="48" t="s">
        <v>20</v>
      </c>
      <c r="I54" s="48">
        <v>678</v>
      </c>
      <c r="J54" s="48" t="e" vm="3">
        <v>#VALUE!</v>
      </c>
      <c r="K54" s="48" t="e" cm="1" vm="4">
        <f t="array" aca="1" ref="K54" ca="1">_FV(Table2[[#This Row],[City]],"Country/region",TRUE)</f>
        <v>#VALUE!</v>
      </c>
      <c r="L54" s="48">
        <f>Table2[[#This Row],[Quantity]]*Table2[[#This Row],[Price]]</f>
        <v>2000.1000000000001</v>
      </c>
    </row>
    <row r="55" spans="2:19" x14ac:dyDescent="0.25">
      <c r="B55" s="48">
        <v>10504</v>
      </c>
      <c r="C55" s="62">
        <v>44882</v>
      </c>
      <c r="D55" s="47" t="s">
        <v>13</v>
      </c>
      <c r="E55" s="48">
        <v>4.99</v>
      </c>
      <c r="F55" s="48" t="s">
        <v>22</v>
      </c>
      <c r="G55" s="48" t="s">
        <v>16</v>
      </c>
      <c r="H55" s="48" t="s">
        <v>20</v>
      </c>
      <c r="I55" s="48">
        <v>201</v>
      </c>
      <c r="J55" s="48" t="e" vm="3">
        <v>#VALUE!</v>
      </c>
      <c r="K55" s="48" t="e" cm="1" vm="4">
        <f t="array" aca="1" ref="K55" ca="1">_FV(Table2[[#This Row],[City]],"Country/region",TRUE)</f>
        <v>#VALUE!</v>
      </c>
      <c r="L55" s="48">
        <f>Table2[[#This Row],[Quantity]]*Table2[[#This Row],[Price]]</f>
        <v>1002.99</v>
      </c>
    </row>
    <row r="56" spans="2:19" x14ac:dyDescent="0.25">
      <c r="B56" s="48">
        <v>10505</v>
      </c>
      <c r="C56" s="62">
        <v>44883</v>
      </c>
      <c r="D56" s="47" t="s">
        <v>15</v>
      </c>
      <c r="E56" s="48">
        <v>12.99</v>
      </c>
      <c r="F56" s="48" t="s">
        <v>22</v>
      </c>
      <c r="G56" s="48" t="s">
        <v>16</v>
      </c>
      <c r="H56" s="48" t="s">
        <v>20</v>
      </c>
      <c r="I56" s="48">
        <v>539</v>
      </c>
      <c r="J56" s="48" t="e" vm="3">
        <v>#VALUE!</v>
      </c>
      <c r="K56" s="48" t="e" cm="1" vm="4">
        <f t="array" aca="1" ref="K56" ca="1">_FV(Table2[[#This Row],[City]],"Country/region",TRUE)</f>
        <v>#VALUE!</v>
      </c>
      <c r="L56" s="48">
        <f>Table2[[#This Row],[Quantity]]*Table2[[#This Row],[Price]]</f>
        <v>7001.61</v>
      </c>
    </row>
    <row r="57" spans="2:19" x14ac:dyDescent="0.25">
      <c r="B57" s="48">
        <v>10506</v>
      </c>
      <c r="C57" s="62">
        <v>44883</v>
      </c>
      <c r="D57" s="47" t="s">
        <v>18</v>
      </c>
      <c r="E57" s="48">
        <v>9.9499999999999993</v>
      </c>
      <c r="F57" s="48" t="s">
        <v>22</v>
      </c>
      <c r="G57" s="48" t="s">
        <v>16</v>
      </c>
      <c r="H57" s="48" t="s">
        <v>20</v>
      </c>
      <c r="I57" s="48">
        <v>202</v>
      </c>
      <c r="J57" s="48" t="e" vm="3">
        <v>#VALUE!</v>
      </c>
      <c r="K57" s="48" t="e" cm="1" vm="4">
        <f t="array" aca="1" ref="K57" ca="1">_FV(Table2[[#This Row],[City]],"Country/region",TRUE)</f>
        <v>#VALUE!</v>
      </c>
      <c r="L57" s="48">
        <f>Table2[[#This Row],[Quantity]]*Table2[[#This Row],[Price]]</f>
        <v>2009.8999999999999</v>
      </c>
    </row>
    <row r="58" spans="2:19" x14ac:dyDescent="0.25">
      <c r="B58" s="48">
        <v>10507</v>
      </c>
      <c r="C58" s="62">
        <v>44883</v>
      </c>
      <c r="D58" s="47" t="s">
        <v>9</v>
      </c>
      <c r="E58" s="48">
        <v>3.49</v>
      </c>
      <c r="F58" s="48" t="s">
        <v>22</v>
      </c>
      <c r="G58" s="48" t="s">
        <v>16</v>
      </c>
      <c r="H58" s="48" t="s">
        <v>20</v>
      </c>
      <c r="I58" s="48">
        <v>688</v>
      </c>
      <c r="J58" s="48" t="e" vm="3">
        <v>#VALUE!</v>
      </c>
      <c r="K58" s="48" t="e" cm="1" vm="4">
        <f t="array" aca="1" ref="K58" ca="1">_FV(Table2[[#This Row],[City]],"Country/region",TRUE)</f>
        <v>#VALUE!</v>
      </c>
      <c r="L58" s="48">
        <f>Table2[[#This Row],[Quantity]]*Table2[[#This Row],[Price]]</f>
        <v>2401.1200000000003</v>
      </c>
    </row>
    <row r="59" spans="2:19" x14ac:dyDescent="0.25">
      <c r="B59" s="48">
        <v>10508</v>
      </c>
      <c r="C59" s="62">
        <v>44883</v>
      </c>
      <c r="D59" s="47" t="s">
        <v>12</v>
      </c>
      <c r="E59" s="48">
        <v>2.95</v>
      </c>
      <c r="F59" s="48" t="s">
        <v>22</v>
      </c>
      <c r="G59" s="48" t="s">
        <v>16</v>
      </c>
      <c r="H59" s="48" t="s">
        <v>20</v>
      </c>
      <c r="I59" s="48">
        <v>678</v>
      </c>
      <c r="J59" s="48" t="e" vm="3">
        <v>#VALUE!</v>
      </c>
      <c r="K59" s="48" t="e" cm="1" vm="4">
        <f t="array" aca="1" ref="K59" ca="1">_FV(Table2[[#This Row],[City]],"Country/region",TRUE)</f>
        <v>#VALUE!</v>
      </c>
      <c r="L59" s="48">
        <f>Table2[[#This Row],[Quantity]]*Table2[[#This Row],[Price]]</f>
        <v>2000.1000000000001</v>
      </c>
    </row>
    <row r="60" spans="2:19" x14ac:dyDescent="0.25">
      <c r="B60" s="48">
        <v>10509</v>
      </c>
      <c r="C60" s="62">
        <v>44883</v>
      </c>
      <c r="D60" s="47" t="s">
        <v>13</v>
      </c>
      <c r="E60" s="48">
        <v>4.99</v>
      </c>
      <c r="F60" s="48" t="s">
        <v>22</v>
      </c>
      <c r="G60" s="48" t="s">
        <v>16</v>
      </c>
      <c r="H60" s="48" t="s">
        <v>20</v>
      </c>
      <c r="I60" s="48">
        <v>201</v>
      </c>
      <c r="J60" s="48" t="e" vm="3">
        <v>#VALUE!</v>
      </c>
      <c r="K60" s="48" t="e" cm="1" vm="4">
        <f t="array" aca="1" ref="K60" ca="1">_FV(Table2[[#This Row],[City]],"Country/region",TRUE)</f>
        <v>#VALUE!</v>
      </c>
      <c r="L60" s="48">
        <f>Table2[[#This Row],[Quantity]]*Table2[[#This Row],[Price]]</f>
        <v>1002.99</v>
      </c>
    </row>
    <row r="61" spans="2:19" x14ac:dyDescent="0.25">
      <c r="B61" s="48">
        <v>10510</v>
      </c>
      <c r="C61" s="62">
        <v>44884</v>
      </c>
      <c r="D61" s="47" t="s">
        <v>15</v>
      </c>
      <c r="E61" s="48">
        <v>12.99</v>
      </c>
      <c r="F61" s="48" t="s">
        <v>22</v>
      </c>
      <c r="G61" s="48" t="s">
        <v>16</v>
      </c>
      <c r="H61" s="48" t="s">
        <v>20</v>
      </c>
      <c r="I61" s="48">
        <v>509</v>
      </c>
      <c r="J61" s="48" t="e" vm="3">
        <v>#VALUE!</v>
      </c>
      <c r="K61" s="48" t="e" cm="1" vm="4">
        <f t="array" aca="1" ref="K61" ca="1">_FV(Table2[[#This Row],[City]],"Country/region",TRUE)</f>
        <v>#VALUE!</v>
      </c>
      <c r="L61" s="48">
        <f>Table2[[#This Row],[Quantity]]*Table2[[#This Row],[Price]]</f>
        <v>6611.91</v>
      </c>
    </row>
    <row r="62" spans="2:19" ht="16.5" thickBot="1" x14ac:dyDescent="0.3">
      <c r="B62" s="48">
        <v>10511</v>
      </c>
      <c r="C62" s="62">
        <v>44884</v>
      </c>
      <c r="D62" s="47" t="s">
        <v>18</v>
      </c>
      <c r="E62" s="48">
        <v>9.9499999999999993</v>
      </c>
      <c r="F62" s="48" t="s">
        <v>22</v>
      </c>
      <c r="G62" s="48" t="s">
        <v>16</v>
      </c>
      <c r="H62" s="48" t="s">
        <v>21</v>
      </c>
      <c r="I62" s="48">
        <v>202</v>
      </c>
      <c r="J62" s="48" t="e" vm="5">
        <v>#VALUE!</v>
      </c>
      <c r="K62" s="48" t="e" cm="1" vm="6">
        <f t="array" aca="1" ref="K62" ca="1">_FV(Table2[[#This Row],[City]],"Country/region",TRUE)</f>
        <v>#VALUE!</v>
      </c>
      <c r="L62" s="48">
        <f>Table2[[#This Row],[Quantity]]*Table2[[#This Row],[Price]]</f>
        <v>2009.8999999999999</v>
      </c>
    </row>
    <row r="63" spans="2:19" x14ac:dyDescent="0.25">
      <c r="B63" s="48">
        <v>10512</v>
      </c>
      <c r="C63" s="62">
        <v>44884</v>
      </c>
      <c r="D63" s="47" t="s">
        <v>9</v>
      </c>
      <c r="E63" s="48">
        <v>3.49</v>
      </c>
      <c r="F63" s="48" t="s">
        <v>22</v>
      </c>
      <c r="G63" s="48" t="s">
        <v>16</v>
      </c>
      <c r="H63" s="48" t="s">
        <v>21</v>
      </c>
      <c r="I63" s="48">
        <v>688</v>
      </c>
      <c r="J63" s="48" t="e" vm="5">
        <v>#VALUE!</v>
      </c>
      <c r="K63" s="48" t="e" cm="1" vm="6">
        <f t="array" aca="1" ref="K63" ca="1">_FV(Table2[[#This Row],[City]],"Country/region",TRUE)</f>
        <v>#VALUE!</v>
      </c>
      <c r="L63" s="48">
        <f>Table2[[#This Row],[Quantity]]*Table2[[#This Row],[Price]]</f>
        <v>2401.1200000000003</v>
      </c>
      <c r="O63" s="53" t="s">
        <v>4</v>
      </c>
      <c r="P63" s="53"/>
    </row>
    <row r="64" spans="2:19" x14ac:dyDescent="0.25">
      <c r="B64" s="48">
        <v>10513</v>
      </c>
      <c r="C64" s="62">
        <v>44884</v>
      </c>
      <c r="D64" s="47" t="s">
        <v>12</v>
      </c>
      <c r="E64" s="48">
        <v>2.95</v>
      </c>
      <c r="F64" s="48" t="s">
        <v>22</v>
      </c>
      <c r="G64" s="48" t="s">
        <v>23</v>
      </c>
      <c r="H64" s="48" t="s">
        <v>21</v>
      </c>
      <c r="I64" s="48">
        <v>678</v>
      </c>
      <c r="J64" s="48" t="e" vm="5">
        <v>#VALUE!</v>
      </c>
      <c r="K64" s="48" t="e" cm="1" vm="6">
        <f t="array" aca="1" ref="K64" ca="1">_FV(Table2[[#This Row],[City]],"Country/region",TRUE)</f>
        <v>#VALUE!</v>
      </c>
      <c r="L64" s="48">
        <f>Table2[[#This Row],[Quantity]]*Table2[[#This Row],[Price]]</f>
        <v>2000.1000000000001</v>
      </c>
      <c r="O64" s="51"/>
      <c r="P64" s="51"/>
    </row>
    <row r="65" spans="2:16" x14ac:dyDescent="0.25">
      <c r="B65" s="48">
        <v>10514</v>
      </c>
      <c r="C65" s="62">
        <v>44884</v>
      </c>
      <c r="D65" s="47" t="s">
        <v>13</v>
      </c>
      <c r="E65" s="48">
        <v>4.99</v>
      </c>
      <c r="F65" s="48" t="s">
        <v>22</v>
      </c>
      <c r="G65" s="48" t="s">
        <v>23</v>
      </c>
      <c r="H65" s="48" t="s">
        <v>21</v>
      </c>
      <c r="I65" s="48">
        <v>201</v>
      </c>
      <c r="J65" s="48" t="e" vm="5">
        <v>#VALUE!</v>
      </c>
      <c r="K65" s="48" t="e" cm="1" vm="6">
        <f t="array" aca="1" ref="K65" ca="1">_FV(Table2[[#This Row],[City]],"Country/region",TRUE)</f>
        <v>#VALUE!</v>
      </c>
      <c r="L65" s="48">
        <f>Table2[[#This Row],[Quantity]]*Table2[[#This Row],[Price]]</f>
        <v>1002.99</v>
      </c>
      <c r="O65" s="51" t="s">
        <v>48</v>
      </c>
      <c r="P65" s="51">
        <v>7.2691221374045982</v>
      </c>
    </row>
    <row r="66" spans="2:16" x14ac:dyDescent="0.25">
      <c r="B66" s="48">
        <v>10515</v>
      </c>
      <c r="C66" s="62">
        <v>44885</v>
      </c>
      <c r="D66" s="47" t="s">
        <v>15</v>
      </c>
      <c r="E66" s="48">
        <v>12.99</v>
      </c>
      <c r="F66" s="48" t="s">
        <v>22</v>
      </c>
      <c r="G66" s="48" t="s">
        <v>23</v>
      </c>
      <c r="H66" s="48" t="s">
        <v>21</v>
      </c>
      <c r="I66" s="48">
        <v>478</v>
      </c>
      <c r="J66" s="48" t="e" vm="5">
        <v>#VALUE!</v>
      </c>
      <c r="K66" s="48" t="e" cm="1" vm="6">
        <f t="array" aca="1" ref="K66" ca="1">_FV(Table2[[#This Row],[City]],"Country/region",TRUE)</f>
        <v>#VALUE!</v>
      </c>
      <c r="L66" s="48">
        <f>Table2[[#This Row],[Quantity]]*Table2[[#This Row],[Price]]</f>
        <v>6209.22</v>
      </c>
      <c r="O66" s="51" t="s">
        <v>49</v>
      </c>
      <c r="P66" s="51">
        <v>0.29992325698176825</v>
      </c>
    </row>
    <row r="67" spans="2:16" x14ac:dyDescent="0.25">
      <c r="B67" s="48">
        <v>10516</v>
      </c>
      <c r="C67" s="62">
        <v>44885</v>
      </c>
      <c r="D67" s="47" t="s">
        <v>18</v>
      </c>
      <c r="E67" s="48">
        <v>9.9499999999999993</v>
      </c>
      <c r="F67" s="48" t="s">
        <v>22</v>
      </c>
      <c r="G67" s="48" t="s">
        <v>23</v>
      </c>
      <c r="H67" s="48" t="s">
        <v>21</v>
      </c>
      <c r="I67" s="48">
        <v>202</v>
      </c>
      <c r="J67" s="48" t="e" vm="5">
        <v>#VALUE!</v>
      </c>
      <c r="K67" s="48" t="e" cm="1" vm="6">
        <f t="array" aca="1" ref="K67" ca="1">_FV(Table2[[#This Row],[City]],"Country/region",TRUE)</f>
        <v>#VALUE!</v>
      </c>
      <c r="L67" s="48">
        <f>Table2[[#This Row],[Quantity]]*Table2[[#This Row],[Price]]</f>
        <v>2009.8999999999999</v>
      </c>
      <c r="O67" s="51" t="s">
        <v>50</v>
      </c>
      <c r="P67" s="51">
        <v>4.99</v>
      </c>
    </row>
    <row r="68" spans="2:16" x14ac:dyDescent="0.25">
      <c r="B68" s="48">
        <v>10483</v>
      </c>
      <c r="C68" s="62">
        <v>44878</v>
      </c>
      <c r="D68" s="47" t="s">
        <v>12</v>
      </c>
      <c r="E68" s="48">
        <v>2.95</v>
      </c>
      <c r="F68" s="48" t="s">
        <v>14</v>
      </c>
      <c r="G68" s="48" t="s">
        <v>16</v>
      </c>
      <c r="H68" s="48" t="s">
        <v>21</v>
      </c>
      <c r="I68" s="48">
        <v>678</v>
      </c>
      <c r="J68" s="48" t="e" vm="5">
        <v>#VALUE!</v>
      </c>
      <c r="K68" s="48" t="e" cm="1" vm="6">
        <f t="array" aca="1" ref="K68" ca="1">_FV(Table2[[#This Row],[City]],"Country/region",TRUE)</f>
        <v>#VALUE!</v>
      </c>
      <c r="L68" s="48">
        <f>Table2[[#This Row],[Quantity]]*Table2[[#This Row],[Price]]</f>
        <v>2000.1000000000001</v>
      </c>
      <c r="O68" s="51" t="s">
        <v>51</v>
      </c>
      <c r="P68" s="51">
        <v>3.49</v>
      </c>
    </row>
    <row r="69" spans="2:16" x14ac:dyDescent="0.25">
      <c r="B69" s="48">
        <v>10484</v>
      </c>
      <c r="C69" s="62">
        <v>44878</v>
      </c>
      <c r="D69" s="47" t="s">
        <v>13</v>
      </c>
      <c r="E69" s="48">
        <v>4.99</v>
      </c>
      <c r="F69" s="48" t="s">
        <v>14</v>
      </c>
      <c r="G69" s="48" t="s">
        <v>16</v>
      </c>
      <c r="H69" s="48" t="s">
        <v>21</v>
      </c>
      <c r="I69" s="48">
        <v>201</v>
      </c>
      <c r="J69" s="48" t="e" vm="5">
        <v>#VALUE!</v>
      </c>
      <c r="K69" s="48" t="e" cm="1" vm="6">
        <f t="array" aca="1" ref="K69" ca="1">_FV(Table2[[#This Row],[City]],"Country/region",TRUE)</f>
        <v>#VALUE!</v>
      </c>
      <c r="L69" s="48">
        <f>Table2[[#This Row],[Quantity]]*Table2[[#This Row],[Price]]</f>
        <v>1002.99</v>
      </c>
      <c r="O69" s="51" t="s">
        <v>52</v>
      </c>
      <c r="P69" s="51">
        <v>4.8546820226025691</v>
      </c>
    </row>
    <row r="70" spans="2:16" x14ac:dyDescent="0.25">
      <c r="B70" s="48">
        <v>10485</v>
      </c>
      <c r="C70" s="62">
        <v>44879</v>
      </c>
      <c r="D70" s="47" t="s">
        <v>15</v>
      </c>
      <c r="E70" s="48">
        <v>12.99</v>
      </c>
      <c r="F70" s="48" t="s">
        <v>14</v>
      </c>
      <c r="G70" s="48" t="s">
        <v>16</v>
      </c>
      <c r="H70" s="48" t="s">
        <v>21</v>
      </c>
      <c r="I70" s="48">
        <v>524</v>
      </c>
      <c r="J70" s="48" t="e" vm="5">
        <v>#VALUE!</v>
      </c>
      <c r="K70" s="48" t="e" cm="1" vm="6">
        <f t="array" aca="1" ref="K70" ca="1">_FV(Table2[[#This Row],[City]],"Country/region",TRUE)</f>
        <v>#VALUE!</v>
      </c>
      <c r="L70" s="48">
        <f>Table2[[#This Row],[Quantity]]*Table2[[#This Row],[Price]]</f>
        <v>6806.76</v>
      </c>
      <c r="O70" s="51" t="s">
        <v>53</v>
      </c>
      <c r="P70" s="51">
        <v>23.567937540580573</v>
      </c>
    </row>
    <row r="71" spans="2:16" x14ac:dyDescent="0.25">
      <c r="B71" s="48">
        <v>10520</v>
      </c>
      <c r="C71" s="62">
        <v>44886</v>
      </c>
      <c r="D71" s="47" t="s">
        <v>15</v>
      </c>
      <c r="E71" s="48">
        <v>12.99</v>
      </c>
      <c r="F71" s="48" t="s">
        <v>22</v>
      </c>
      <c r="G71" s="48" t="s">
        <v>23</v>
      </c>
      <c r="H71" s="48" t="s">
        <v>19</v>
      </c>
      <c r="I71" s="48">
        <v>493</v>
      </c>
      <c r="J71" s="48" t="e" vm="9">
        <v>#VALUE!</v>
      </c>
      <c r="K71" s="48" t="e" cm="1" vm="10">
        <f t="array" aca="1" ref="K71" ca="1">_FV(Table2[[#This Row],[City]],"Country/region",TRUE)</f>
        <v>#VALUE!</v>
      </c>
      <c r="L71" s="48">
        <f>Table2[[#This Row],[Quantity]]*Table2[[#This Row],[Price]]</f>
        <v>6404.07</v>
      </c>
      <c r="O71" s="51" t="s">
        <v>54</v>
      </c>
      <c r="P71" s="51">
        <v>4.7442878382474785</v>
      </c>
    </row>
    <row r="72" spans="2:16" x14ac:dyDescent="0.25">
      <c r="B72" s="48">
        <v>10521</v>
      </c>
      <c r="C72" s="62">
        <v>44886</v>
      </c>
      <c r="D72" s="47" t="s">
        <v>18</v>
      </c>
      <c r="E72" s="48">
        <v>9.9499999999999993</v>
      </c>
      <c r="F72" s="48" t="s">
        <v>22</v>
      </c>
      <c r="G72" s="48" t="s">
        <v>23</v>
      </c>
      <c r="H72" s="48" t="s">
        <v>19</v>
      </c>
      <c r="I72" s="48">
        <v>202</v>
      </c>
      <c r="J72" s="48" t="e" vm="9">
        <v>#VALUE!</v>
      </c>
      <c r="K72" s="48" t="e" cm="1" vm="10">
        <f t="array" aca="1" ref="K72" ca="1">_FV(Table2[[#This Row],[City]],"Country/region",TRUE)</f>
        <v>#VALUE!</v>
      </c>
      <c r="L72" s="48">
        <f>Table2[[#This Row],[Quantity]]*Table2[[#This Row],[Price]]</f>
        <v>2009.8999999999999</v>
      </c>
      <c r="O72" s="51" t="s">
        <v>55</v>
      </c>
      <c r="P72" s="51">
        <v>1.6447757638390159</v>
      </c>
    </row>
    <row r="73" spans="2:16" x14ac:dyDescent="0.25">
      <c r="B73" s="48">
        <v>10522</v>
      </c>
      <c r="C73" s="62">
        <v>44886</v>
      </c>
      <c r="D73" s="47" t="s">
        <v>9</v>
      </c>
      <c r="E73" s="48">
        <v>3.49</v>
      </c>
      <c r="F73" s="48" t="s">
        <v>22</v>
      </c>
      <c r="G73" s="48" t="s">
        <v>23</v>
      </c>
      <c r="H73" s="48" t="s">
        <v>19</v>
      </c>
      <c r="I73" s="48">
        <v>688</v>
      </c>
      <c r="J73" s="48" t="e" vm="9">
        <v>#VALUE!</v>
      </c>
      <c r="K73" s="48" t="e" cm="1" vm="10">
        <f t="array" aca="1" ref="K73" ca="1">_FV(Table2[[#This Row],[City]],"Country/region",TRUE)</f>
        <v>#VALUE!</v>
      </c>
      <c r="L73" s="48">
        <f>Table2[[#This Row],[Quantity]]*Table2[[#This Row],[Price]]</f>
        <v>2401.1200000000003</v>
      </c>
      <c r="O73" s="51" t="s">
        <v>56</v>
      </c>
      <c r="P73" s="51">
        <v>30.27</v>
      </c>
    </row>
    <row r="74" spans="2:16" x14ac:dyDescent="0.25">
      <c r="B74" s="48">
        <v>10523</v>
      </c>
      <c r="C74" s="62">
        <v>44886</v>
      </c>
      <c r="D74" s="47" t="s">
        <v>12</v>
      </c>
      <c r="E74" s="48">
        <v>2.95</v>
      </c>
      <c r="F74" s="48" t="s">
        <v>22</v>
      </c>
      <c r="G74" s="48" t="s">
        <v>23</v>
      </c>
      <c r="H74" s="48" t="s">
        <v>19</v>
      </c>
      <c r="I74" s="48">
        <v>746</v>
      </c>
      <c r="J74" s="48" t="e" vm="9">
        <v>#VALUE!</v>
      </c>
      <c r="K74" s="48" t="e" cm="1" vm="10">
        <f t="array" aca="1" ref="K74" ca="1">_FV(Table2[[#This Row],[City]],"Country/region",TRUE)</f>
        <v>#VALUE!</v>
      </c>
      <c r="L74" s="48">
        <f>Table2[[#This Row],[Quantity]]*Table2[[#This Row],[Price]]</f>
        <v>2200.7000000000003</v>
      </c>
      <c r="O74" s="51" t="s">
        <v>57</v>
      </c>
      <c r="P74" s="51">
        <v>2.95</v>
      </c>
    </row>
    <row r="75" spans="2:16" x14ac:dyDescent="0.25">
      <c r="B75" s="48">
        <v>10524</v>
      </c>
      <c r="C75" s="62">
        <v>44886</v>
      </c>
      <c r="D75" s="47" t="s">
        <v>13</v>
      </c>
      <c r="E75" s="48">
        <v>4.99</v>
      </c>
      <c r="F75" s="48" t="s">
        <v>22</v>
      </c>
      <c r="G75" s="48" t="s">
        <v>23</v>
      </c>
      <c r="H75" s="48" t="s">
        <v>19</v>
      </c>
      <c r="I75" s="48">
        <v>201</v>
      </c>
      <c r="J75" s="48" t="e" vm="9">
        <v>#VALUE!</v>
      </c>
      <c r="K75" s="48" t="e" cm="1" vm="10">
        <f t="array" aca="1" ref="K75" ca="1">_FV(Table2[[#This Row],[City]],"Country/region",TRUE)</f>
        <v>#VALUE!</v>
      </c>
      <c r="L75" s="48">
        <f>Table2[[#This Row],[Quantity]]*Table2[[#This Row],[Price]]</f>
        <v>1002.99</v>
      </c>
      <c r="O75" s="51" t="s">
        <v>58</v>
      </c>
      <c r="P75" s="51">
        <v>33.22</v>
      </c>
    </row>
    <row r="76" spans="2:16" x14ac:dyDescent="0.25">
      <c r="B76" s="48">
        <v>10525</v>
      </c>
      <c r="C76" s="62">
        <v>44887</v>
      </c>
      <c r="D76" s="47" t="s">
        <v>15</v>
      </c>
      <c r="E76" s="48">
        <v>12.99</v>
      </c>
      <c r="F76" s="48" t="s">
        <v>22</v>
      </c>
      <c r="G76" s="48" t="s">
        <v>23</v>
      </c>
      <c r="H76" s="48" t="s">
        <v>19</v>
      </c>
      <c r="I76" s="48">
        <v>462</v>
      </c>
      <c r="J76" s="48" t="e" vm="9">
        <v>#VALUE!</v>
      </c>
      <c r="K76" s="48" t="e" cm="1" vm="10">
        <f t="array" aca="1" ref="K76" ca="1">_FV(Table2[[#This Row],[City]],"Country/region",TRUE)</f>
        <v>#VALUE!</v>
      </c>
      <c r="L76" s="48">
        <f>Table2[[#This Row],[Quantity]]*Table2[[#This Row],[Price]]</f>
        <v>6001.38</v>
      </c>
      <c r="O76" s="51" t="s">
        <v>59</v>
      </c>
      <c r="P76" s="51">
        <v>1904.5100000000048</v>
      </c>
    </row>
    <row r="77" spans="2:16" ht="16.5" thickBot="1" x14ac:dyDescent="0.3">
      <c r="B77" s="48">
        <v>10526</v>
      </c>
      <c r="C77" s="62">
        <v>44887</v>
      </c>
      <c r="D77" s="47" t="s">
        <v>18</v>
      </c>
      <c r="E77" s="48">
        <v>9.9499999999999993</v>
      </c>
      <c r="F77" s="48" t="s">
        <v>22</v>
      </c>
      <c r="G77" s="48" t="s">
        <v>23</v>
      </c>
      <c r="H77" s="48" t="s">
        <v>19</v>
      </c>
      <c r="I77" s="48">
        <v>202</v>
      </c>
      <c r="J77" s="48" t="e" vm="9">
        <v>#VALUE!</v>
      </c>
      <c r="K77" s="48" t="e" cm="1" vm="10">
        <f t="array" aca="1" ref="K77" ca="1">_FV(Table2[[#This Row],[City]],"Country/region",TRUE)</f>
        <v>#VALUE!</v>
      </c>
      <c r="L77" s="48">
        <f>Table2[[#This Row],[Quantity]]*Table2[[#This Row],[Price]]</f>
        <v>2009.8999999999999</v>
      </c>
      <c r="O77" s="52" t="s">
        <v>60</v>
      </c>
      <c r="P77" s="52">
        <v>262</v>
      </c>
    </row>
    <row r="78" spans="2:16" x14ac:dyDescent="0.25">
      <c r="B78" s="48">
        <v>10527</v>
      </c>
      <c r="C78" s="62">
        <v>44887</v>
      </c>
      <c r="D78" s="47" t="s">
        <v>9</v>
      </c>
      <c r="E78" s="48">
        <v>3.49</v>
      </c>
      <c r="F78" s="48" t="s">
        <v>22</v>
      </c>
      <c r="G78" s="48" t="s">
        <v>23</v>
      </c>
      <c r="H78" s="48" t="s">
        <v>19</v>
      </c>
      <c r="I78" s="48">
        <v>688</v>
      </c>
      <c r="J78" s="48" t="e" vm="9">
        <v>#VALUE!</v>
      </c>
      <c r="K78" s="48" t="e" cm="1" vm="10">
        <f t="array" aca="1" ref="K78" ca="1">_FV(Table2[[#This Row],[City]],"Country/region",TRUE)</f>
        <v>#VALUE!</v>
      </c>
      <c r="L78" s="48">
        <f>Table2[[#This Row],[Quantity]]*Table2[[#This Row],[Price]]</f>
        <v>2401.1200000000003</v>
      </c>
    </row>
    <row r="79" spans="2:16" x14ac:dyDescent="0.25">
      <c r="B79" s="48">
        <v>10528</v>
      </c>
      <c r="C79" s="62">
        <v>44887</v>
      </c>
      <c r="D79" s="47" t="s">
        <v>12</v>
      </c>
      <c r="E79" s="48">
        <v>2.95</v>
      </c>
      <c r="F79" s="48" t="s">
        <v>22</v>
      </c>
      <c r="G79" s="48" t="s">
        <v>23</v>
      </c>
      <c r="H79" s="48" t="s">
        <v>19</v>
      </c>
      <c r="I79" s="48">
        <v>746</v>
      </c>
      <c r="J79" s="48" t="e" vm="9">
        <v>#VALUE!</v>
      </c>
      <c r="K79" s="48" t="e" cm="1" vm="10">
        <f t="array" aca="1" ref="K79" ca="1">_FV(Table2[[#This Row],[City]],"Country/region",TRUE)</f>
        <v>#VALUE!</v>
      </c>
      <c r="L79" s="48">
        <f>Table2[[#This Row],[Quantity]]*Table2[[#This Row],[Price]]</f>
        <v>2200.7000000000003</v>
      </c>
    </row>
    <row r="80" spans="2:16" x14ac:dyDescent="0.25">
      <c r="B80" s="48">
        <v>10529</v>
      </c>
      <c r="C80" s="62">
        <v>44887</v>
      </c>
      <c r="D80" s="47" t="s">
        <v>13</v>
      </c>
      <c r="E80" s="48">
        <v>4.99</v>
      </c>
      <c r="F80" s="48" t="s">
        <v>22</v>
      </c>
      <c r="G80" s="48" t="s">
        <v>23</v>
      </c>
      <c r="H80" s="48" t="s">
        <v>19</v>
      </c>
      <c r="I80" s="48">
        <v>201</v>
      </c>
      <c r="J80" s="48" t="e" vm="9">
        <v>#VALUE!</v>
      </c>
      <c r="K80" s="48" t="e" cm="1" vm="10">
        <f t="array" aca="1" ref="K80" ca="1">_FV(Table2[[#This Row],[City]],"Country/region",TRUE)</f>
        <v>#VALUE!</v>
      </c>
      <c r="L80" s="48">
        <f>Table2[[#This Row],[Quantity]]*Table2[[#This Row],[Price]]</f>
        <v>1002.99</v>
      </c>
    </row>
    <row r="81" spans="2:19" x14ac:dyDescent="0.25">
      <c r="B81" s="48">
        <v>10530</v>
      </c>
      <c r="C81" s="62">
        <v>44888</v>
      </c>
      <c r="D81" s="47" t="s">
        <v>15</v>
      </c>
      <c r="E81" s="48">
        <v>12.99</v>
      </c>
      <c r="F81" s="48" t="s">
        <v>22</v>
      </c>
      <c r="G81" s="48" t="s">
        <v>23</v>
      </c>
      <c r="H81" s="48" t="s">
        <v>19</v>
      </c>
      <c r="I81" s="48">
        <v>478</v>
      </c>
      <c r="J81" s="48" t="e" vm="9">
        <v>#VALUE!</v>
      </c>
      <c r="K81" s="48" t="e" cm="1" vm="10">
        <f t="array" aca="1" ref="K81" ca="1">_FV(Table2[[#This Row],[City]],"Country/region",TRUE)</f>
        <v>#VALUE!</v>
      </c>
      <c r="L81" s="48">
        <f>Table2[[#This Row],[Quantity]]*Table2[[#This Row],[Price]]</f>
        <v>6209.22</v>
      </c>
    </row>
    <row r="82" spans="2:19" x14ac:dyDescent="0.25">
      <c r="B82" s="48">
        <v>10531</v>
      </c>
      <c r="C82" s="62">
        <v>44888</v>
      </c>
      <c r="D82" s="47" t="s">
        <v>18</v>
      </c>
      <c r="E82" s="48">
        <v>9.9499999999999993</v>
      </c>
      <c r="F82" s="48" t="s">
        <v>22</v>
      </c>
      <c r="G82" s="48" t="s">
        <v>23</v>
      </c>
      <c r="H82" s="48" t="s">
        <v>19</v>
      </c>
      <c r="I82" s="48">
        <v>202</v>
      </c>
      <c r="J82" s="48" t="e" vm="9">
        <v>#VALUE!</v>
      </c>
      <c r="K82" s="48" t="e" cm="1" vm="10">
        <f t="array" aca="1" ref="K82" ca="1">_FV(Table2[[#This Row],[City]],"Country/region",TRUE)</f>
        <v>#VALUE!</v>
      </c>
      <c r="L82" s="48">
        <f>Table2[[#This Row],[Quantity]]*Table2[[#This Row],[Price]]</f>
        <v>2009.8999999999999</v>
      </c>
    </row>
    <row r="83" spans="2:19" x14ac:dyDescent="0.25">
      <c r="B83" s="48">
        <v>10532</v>
      </c>
      <c r="C83" s="62">
        <v>44888</v>
      </c>
      <c r="D83" s="47" t="s">
        <v>9</v>
      </c>
      <c r="E83" s="48">
        <v>3.49</v>
      </c>
      <c r="F83" s="48" t="s">
        <v>22</v>
      </c>
      <c r="G83" s="48" t="s">
        <v>23</v>
      </c>
      <c r="H83" s="48" t="s">
        <v>21</v>
      </c>
      <c r="I83" s="48">
        <v>688</v>
      </c>
      <c r="J83" s="48" t="e" vm="5">
        <v>#VALUE!</v>
      </c>
      <c r="K83" s="48" t="e" cm="1" vm="6">
        <f t="array" aca="1" ref="K83" ca="1">_FV(Table2[[#This Row],[City]],"Country/region",TRUE)</f>
        <v>#VALUE!</v>
      </c>
      <c r="L83" s="48">
        <f>Table2[[#This Row],[Quantity]]*Table2[[#This Row],[Price]]</f>
        <v>2401.1200000000003</v>
      </c>
    </row>
    <row r="84" spans="2:19" x14ac:dyDescent="0.25">
      <c r="B84" s="48">
        <v>10533</v>
      </c>
      <c r="C84" s="62">
        <v>44888</v>
      </c>
      <c r="D84" s="47" t="s">
        <v>12</v>
      </c>
      <c r="E84" s="48">
        <v>2.95</v>
      </c>
      <c r="F84" s="48" t="s">
        <v>22</v>
      </c>
      <c r="G84" s="48" t="s">
        <v>23</v>
      </c>
      <c r="H84" s="48" t="s">
        <v>21</v>
      </c>
      <c r="I84" s="48">
        <v>746</v>
      </c>
      <c r="J84" s="48" t="e" vm="5">
        <v>#VALUE!</v>
      </c>
      <c r="K84" s="48" t="e" cm="1" vm="6">
        <f t="array" aca="1" ref="K84" ca="1">_FV(Table2[[#This Row],[City]],"Country/region",TRUE)</f>
        <v>#VALUE!</v>
      </c>
      <c r="L84" s="48">
        <f>Table2[[#This Row],[Quantity]]*Table2[[#This Row],[Price]]</f>
        <v>2200.7000000000003</v>
      </c>
    </row>
    <row r="85" spans="2:19" x14ac:dyDescent="0.25">
      <c r="B85" s="48">
        <v>10534</v>
      </c>
      <c r="C85" s="62">
        <v>44888</v>
      </c>
      <c r="D85" s="47" t="s">
        <v>13</v>
      </c>
      <c r="E85" s="48">
        <v>4.99</v>
      </c>
      <c r="F85" s="48" t="s">
        <v>22</v>
      </c>
      <c r="G85" s="48" t="s">
        <v>23</v>
      </c>
      <c r="H85" s="48" t="s">
        <v>20</v>
      </c>
      <c r="I85" s="48">
        <v>201</v>
      </c>
      <c r="J85" s="48" t="e" vm="3">
        <v>#VALUE!</v>
      </c>
      <c r="K85" s="48" t="e" cm="1" vm="4">
        <f t="array" aca="1" ref="K85" ca="1">_FV(Table2[[#This Row],[City]],"Country/region",TRUE)</f>
        <v>#VALUE!</v>
      </c>
      <c r="L85" s="48">
        <f>Table2[[#This Row],[Quantity]]*Table2[[#This Row],[Price]]</f>
        <v>1002.99</v>
      </c>
    </row>
    <row r="86" spans="2:19" x14ac:dyDescent="0.25">
      <c r="B86" s="48">
        <v>10535</v>
      </c>
      <c r="C86" s="62">
        <v>44889</v>
      </c>
      <c r="D86" s="47" t="s">
        <v>15</v>
      </c>
      <c r="E86" s="48">
        <v>12.99</v>
      </c>
      <c r="F86" s="48" t="s">
        <v>22</v>
      </c>
      <c r="G86" s="48" t="s">
        <v>16</v>
      </c>
      <c r="H86" s="48" t="s">
        <v>20</v>
      </c>
      <c r="I86" s="48">
        <v>478</v>
      </c>
      <c r="J86" s="48" t="e" vm="3">
        <v>#VALUE!</v>
      </c>
      <c r="K86" s="48" t="e" cm="1" vm="4">
        <f t="array" aca="1" ref="K86" ca="1">_FV(Table2[[#This Row],[City]],"Country/region",TRUE)</f>
        <v>#VALUE!</v>
      </c>
      <c r="L86" s="48">
        <f>Table2[[#This Row],[Quantity]]*Table2[[#This Row],[Price]]</f>
        <v>6209.22</v>
      </c>
    </row>
    <row r="87" spans="2:19" x14ac:dyDescent="0.25">
      <c r="B87" s="48">
        <v>10536</v>
      </c>
      <c r="C87" s="62">
        <v>44889</v>
      </c>
      <c r="D87" s="47" t="s">
        <v>18</v>
      </c>
      <c r="E87" s="48">
        <v>9.9499999999999993</v>
      </c>
      <c r="F87" s="48" t="s">
        <v>22</v>
      </c>
      <c r="G87" s="48" t="s">
        <v>16</v>
      </c>
      <c r="H87" s="48" t="s">
        <v>20</v>
      </c>
      <c r="I87" s="48">
        <v>202</v>
      </c>
      <c r="J87" s="48" t="e" vm="3">
        <v>#VALUE!</v>
      </c>
      <c r="K87" s="48" t="e" cm="1" vm="4">
        <f t="array" aca="1" ref="K87" ca="1">_FV(Table2[[#This Row],[City]],"Country/region",TRUE)</f>
        <v>#VALUE!</v>
      </c>
      <c r="L87" s="48">
        <f>Table2[[#This Row],[Quantity]]*Table2[[#This Row],[Price]]</f>
        <v>2009.8999999999999</v>
      </c>
    </row>
    <row r="88" spans="2:19" x14ac:dyDescent="0.25">
      <c r="B88" s="48">
        <v>10537</v>
      </c>
      <c r="C88" s="62">
        <v>44889</v>
      </c>
      <c r="D88" s="47" t="s">
        <v>9</v>
      </c>
      <c r="E88" s="48">
        <v>3.49</v>
      </c>
      <c r="F88" s="48" t="s">
        <v>22</v>
      </c>
      <c r="G88" s="48" t="s">
        <v>16</v>
      </c>
      <c r="H88" s="48" t="s">
        <v>20</v>
      </c>
      <c r="I88" s="48">
        <v>631</v>
      </c>
      <c r="J88" s="48" t="e" vm="3">
        <v>#VALUE!</v>
      </c>
      <c r="K88" s="48" t="e" cm="1" vm="4">
        <f t="array" aca="1" ref="K88" ca="1">_FV(Table2[[#This Row],[City]],"Country/region",TRUE)</f>
        <v>#VALUE!</v>
      </c>
      <c r="L88" s="48">
        <f>Table2[[#This Row],[Quantity]]*Table2[[#This Row],[Price]]</f>
        <v>2202.19</v>
      </c>
    </row>
    <row r="89" spans="2:19" x14ac:dyDescent="0.25">
      <c r="B89" s="48">
        <v>10538</v>
      </c>
      <c r="C89" s="62">
        <v>44889</v>
      </c>
      <c r="D89" s="47" t="s">
        <v>12</v>
      </c>
      <c r="E89" s="48">
        <v>2.95</v>
      </c>
      <c r="F89" s="48" t="s">
        <v>22</v>
      </c>
      <c r="G89" s="48" t="s">
        <v>16</v>
      </c>
      <c r="H89" s="48" t="s">
        <v>20</v>
      </c>
      <c r="I89" s="48">
        <v>746</v>
      </c>
      <c r="J89" s="48" t="e" vm="3">
        <v>#VALUE!</v>
      </c>
      <c r="K89" s="48" t="e" cm="1" vm="4">
        <f t="array" aca="1" ref="K89" ca="1">_FV(Table2[[#This Row],[City]],"Country/region",TRUE)</f>
        <v>#VALUE!</v>
      </c>
      <c r="L89" s="48">
        <f>Table2[[#This Row],[Quantity]]*Table2[[#This Row],[Price]]</f>
        <v>2200.7000000000003</v>
      </c>
    </row>
    <row r="90" spans="2:19" x14ac:dyDescent="0.25">
      <c r="B90" s="48">
        <v>10539</v>
      </c>
      <c r="C90" s="62">
        <v>44889</v>
      </c>
      <c r="D90" s="47" t="s">
        <v>13</v>
      </c>
      <c r="E90" s="48">
        <v>4.99</v>
      </c>
      <c r="F90" s="48" t="s">
        <v>22</v>
      </c>
      <c r="G90" s="48" t="s">
        <v>16</v>
      </c>
      <c r="H90" s="48" t="s">
        <v>20</v>
      </c>
      <c r="I90" s="48">
        <v>201</v>
      </c>
      <c r="J90" s="48" t="e" vm="3">
        <v>#VALUE!</v>
      </c>
      <c r="K90" s="48" t="e" cm="1" vm="4">
        <f t="array" aca="1" ref="K90" ca="1">_FV(Table2[[#This Row],[City]],"Country/region",TRUE)</f>
        <v>#VALUE!</v>
      </c>
      <c r="L90" s="48">
        <f>Table2[[#This Row],[Quantity]]*Table2[[#This Row],[Price]]</f>
        <v>1002.99</v>
      </c>
    </row>
    <row r="91" spans="2:19" x14ac:dyDescent="0.25">
      <c r="B91" s="48">
        <v>10540</v>
      </c>
      <c r="C91" s="62">
        <v>44890</v>
      </c>
      <c r="D91" s="47" t="s">
        <v>15</v>
      </c>
      <c r="E91" s="48">
        <v>12.99</v>
      </c>
      <c r="F91" s="48" t="s">
        <v>22</v>
      </c>
      <c r="G91" s="48" t="s">
        <v>16</v>
      </c>
      <c r="H91" s="48" t="s">
        <v>20</v>
      </c>
      <c r="I91" s="48">
        <v>462</v>
      </c>
      <c r="J91" s="48" t="e" vm="3">
        <v>#VALUE!</v>
      </c>
      <c r="K91" s="48" t="e" cm="1" vm="4">
        <f t="array" aca="1" ref="K91" ca="1">_FV(Table2[[#This Row],[City]],"Country/region",TRUE)</f>
        <v>#VALUE!</v>
      </c>
      <c r="L91" s="48">
        <f>Table2[[#This Row],[Quantity]]*Table2[[#This Row],[Price]]</f>
        <v>6001.38</v>
      </c>
    </row>
    <row r="92" spans="2:19" x14ac:dyDescent="0.25">
      <c r="B92" s="48">
        <v>10541</v>
      </c>
      <c r="C92" s="62">
        <v>44890</v>
      </c>
      <c r="D92" s="47" t="s">
        <v>18</v>
      </c>
      <c r="E92" s="48">
        <v>9.9499999999999993</v>
      </c>
      <c r="F92" s="48" t="s">
        <v>22</v>
      </c>
      <c r="G92" s="48" t="s">
        <v>16</v>
      </c>
      <c r="H92" s="48" t="s">
        <v>24</v>
      </c>
      <c r="I92" s="48">
        <v>202</v>
      </c>
      <c r="J92" s="48" t="e" vm="1">
        <v>#VALUE!</v>
      </c>
      <c r="K92" s="48" t="e" cm="1" vm="2">
        <f t="array" aca="1" ref="K92" ca="1">_FV(Table2[[#This Row],[City]],"Country/region",TRUE)</f>
        <v>#VALUE!</v>
      </c>
      <c r="L92" s="48">
        <f>Table2[[#This Row],[Quantity]]*Table2[[#This Row],[Price]]</f>
        <v>2009.8999999999999</v>
      </c>
    </row>
    <row r="93" spans="2:19" x14ac:dyDescent="0.25">
      <c r="B93" s="48">
        <v>10542</v>
      </c>
      <c r="C93" s="62">
        <v>44890</v>
      </c>
      <c r="D93" s="47" t="s">
        <v>9</v>
      </c>
      <c r="E93" s="48">
        <v>3.49</v>
      </c>
      <c r="F93" s="48" t="s">
        <v>22</v>
      </c>
      <c r="G93" s="48" t="s">
        <v>16</v>
      </c>
      <c r="H93" s="48" t="s">
        <v>24</v>
      </c>
      <c r="I93" s="48">
        <v>631</v>
      </c>
      <c r="J93" s="48" t="e" vm="1">
        <v>#VALUE!</v>
      </c>
      <c r="K93" s="48" t="e" cm="1" vm="2">
        <f t="array" aca="1" ref="K93" ca="1">_FV(Table2[[#This Row],[City]],"Country/region",TRUE)</f>
        <v>#VALUE!</v>
      </c>
      <c r="L93" s="48">
        <f>Table2[[#This Row],[Quantity]]*Table2[[#This Row],[Price]]</f>
        <v>2202.19</v>
      </c>
    </row>
    <row r="94" spans="2:19" ht="15.75" customHeight="1" x14ac:dyDescent="0.25">
      <c r="B94" s="48">
        <v>10543</v>
      </c>
      <c r="C94" s="62">
        <v>44890</v>
      </c>
      <c r="D94" s="47" t="s">
        <v>12</v>
      </c>
      <c r="E94" s="48">
        <v>2.95</v>
      </c>
      <c r="F94" s="48" t="s">
        <v>22</v>
      </c>
      <c r="G94" s="48" t="s">
        <v>16</v>
      </c>
      <c r="H94" s="48" t="s">
        <v>24</v>
      </c>
      <c r="I94" s="48">
        <v>746</v>
      </c>
      <c r="J94" s="48" t="e" vm="1">
        <v>#VALUE!</v>
      </c>
      <c r="K94" s="48" t="e" cm="1" vm="2">
        <f t="array" aca="1" ref="K94" ca="1">_FV(Table2[[#This Row],[City]],"Country/region",TRUE)</f>
        <v>#VALUE!</v>
      </c>
      <c r="L94" s="48">
        <f>Table2[[#This Row],[Quantity]]*Table2[[#This Row],[Price]]</f>
        <v>2200.7000000000003</v>
      </c>
      <c r="O94" s="45" t="s">
        <v>62</v>
      </c>
      <c r="P94" s="45"/>
      <c r="Q94" s="45"/>
      <c r="R94" s="45"/>
      <c r="S94" s="45"/>
    </row>
    <row r="95" spans="2:19" x14ac:dyDescent="0.25">
      <c r="B95" s="48">
        <v>10544</v>
      </c>
      <c r="C95" s="62">
        <v>44890</v>
      </c>
      <c r="D95" s="47" t="s">
        <v>13</v>
      </c>
      <c r="E95" s="48">
        <v>4.99</v>
      </c>
      <c r="F95" s="48" t="s">
        <v>22</v>
      </c>
      <c r="G95" s="48" t="s">
        <v>16</v>
      </c>
      <c r="H95" s="48" t="s">
        <v>24</v>
      </c>
      <c r="I95" s="48">
        <v>201</v>
      </c>
      <c r="J95" s="48" t="e" vm="1">
        <v>#VALUE!</v>
      </c>
      <c r="K95" s="48" t="e" cm="1" vm="2">
        <f t="array" aca="1" ref="K95" ca="1">_FV(Table2[[#This Row],[City]],"Country/region",TRUE)</f>
        <v>#VALUE!</v>
      </c>
      <c r="L95" s="48">
        <f>Table2[[#This Row],[Quantity]]*Table2[[#This Row],[Price]]</f>
        <v>1002.99</v>
      </c>
      <c r="O95" s="45"/>
      <c r="P95" s="45"/>
      <c r="Q95" s="45"/>
      <c r="R95" s="45"/>
      <c r="S95" s="45"/>
    </row>
    <row r="96" spans="2:19" x14ac:dyDescent="0.25">
      <c r="B96" s="48">
        <v>10545</v>
      </c>
      <c r="C96" s="62">
        <v>44891</v>
      </c>
      <c r="D96" s="47" t="s">
        <v>15</v>
      </c>
      <c r="E96" s="48">
        <v>12.99</v>
      </c>
      <c r="F96" s="48" t="s">
        <v>22</v>
      </c>
      <c r="G96" s="48" t="s">
        <v>16</v>
      </c>
      <c r="H96" s="48" t="s">
        <v>24</v>
      </c>
      <c r="I96" s="48">
        <v>447</v>
      </c>
      <c r="J96" s="48" t="e" vm="1">
        <v>#VALUE!</v>
      </c>
      <c r="K96" s="48" t="e" cm="1" vm="2">
        <f t="array" aca="1" ref="K96" ca="1">_FV(Table2[[#This Row],[City]],"Country/region",TRUE)</f>
        <v>#VALUE!</v>
      </c>
      <c r="L96" s="48">
        <f>Table2[[#This Row],[Quantity]]*Table2[[#This Row],[Price]]</f>
        <v>5806.53</v>
      </c>
      <c r="O96" s="45"/>
      <c r="P96" s="45"/>
      <c r="Q96" s="45"/>
      <c r="R96" s="45"/>
      <c r="S96" s="45"/>
    </row>
    <row r="97" spans="2:19" x14ac:dyDescent="0.25">
      <c r="B97" s="48">
        <v>10546</v>
      </c>
      <c r="C97" s="62">
        <v>44891</v>
      </c>
      <c r="D97" s="47" t="s">
        <v>18</v>
      </c>
      <c r="E97" s="48">
        <v>9.9499999999999993</v>
      </c>
      <c r="F97" s="48" t="s">
        <v>22</v>
      </c>
      <c r="G97" s="48" t="s">
        <v>16</v>
      </c>
      <c r="H97" s="48" t="s">
        <v>24</v>
      </c>
      <c r="I97" s="48">
        <v>202</v>
      </c>
      <c r="J97" s="48" t="e" vm="1">
        <v>#VALUE!</v>
      </c>
      <c r="K97" s="48" t="e" cm="1" vm="2">
        <f t="array" aca="1" ref="K97" ca="1">_FV(Table2[[#This Row],[City]],"Country/region",TRUE)</f>
        <v>#VALUE!</v>
      </c>
      <c r="L97" s="48">
        <f>Table2[[#This Row],[Quantity]]*Table2[[#This Row],[Price]]</f>
        <v>2009.8999999999999</v>
      </c>
      <c r="O97" s="45"/>
      <c r="P97" s="45"/>
      <c r="Q97" s="45"/>
      <c r="R97" s="45"/>
      <c r="S97" s="45"/>
    </row>
    <row r="98" spans="2:19" x14ac:dyDescent="0.25">
      <c r="B98" s="48">
        <v>10547</v>
      </c>
      <c r="C98" s="62">
        <v>44891</v>
      </c>
      <c r="D98" s="47" t="s">
        <v>9</v>
      </c>
      <c r="E98" s="48">
        <v>3.49</v>
      </c>
      <c r="F98" s="48" t="s">
        <v>22</v>
      </c>
      <c r="G98" s="48" t="s">
        <v>16</v>
      </c>
      <c r="H98" s="48" t="s">
        <v>24</v>
      </c>
      <c r="I98" s="48">
        <v>631</v>
      </c>
      <c r="J98" s="48" t="e" vm="1">
        <v>#VALUE!</v>
      </c>
      <c r="K98" s="48" t="e" cm="1" vm="2">
        <f t="array" aca="1" ref="K98" ca="1">_FV(Table2[[#This Row],[City]],"Country/region",TRUE)</f>
        <v>#VALUE!</v>
      </c>
      <c r="L98" s="48">
        <f>Table2[[#This Row],[Quantity]]*Table2[[#This Row],[Price]]</f>
        <v>2202.19</v>
      </c>
    </row>
    <row r="99" spans="2:19" x14ac:dyDescent="0.25">
      <c r="B99" s="48">
        <v>10548</v>
      </c>
      <c r="C99" s="62">
        <v>44891</v>
      </c>
      <c r="D99" s="47" t="s">
        <v>12</v>
      </c>
      <c r="E99" s="48">
        <v>2.95</v>
      </c>
      <c r="F99" s="48" t="s">
        <v>22</v>
      </c>
      <c r="G99" s="48" t="s">
        <v>16</v>
      </c>
      <c r="H99" s="48" t="s">
        <v>24</v>
      </c>
      <c r="I99" s="48">
        <v>746</v>
      </c>
      <c r="J99" s="48" t="e" vm="1">
        <v>#VALUE!</v>
      </c>
      <c r="K99" s="48" t="e" cm="1" vm="2">
        <f t="array" aca="1" ref="K99" ca="1">_FV(Table2[[#This Row],[City]],"Country/region",TRUE)</f>
        <v>#VALUE!</v>
      </c>
      <c r="L99" s="48">
        <f>Table2[[#This Row],[Quantity]]*Table2[[#This Row],[Price]]</f>
        <v>2200.7000000000003</v>
      </c>
    </row>
    <row r="100" spans="2:19" x14ac:dyDescent="0.25">
      <c r="B100" s="48">
        <v>10549</v>
      </c>
      <c r="C100" s="62">
        <v>44891</v>
      </c>
      <c r="D100" s="47" t="s">
        <v>13</v>
      </c>
      <c r="E100" s="48">
        <v>4.99</v>
      </c>
      <c r="F100" s="48" t="s">
        <v>22</v>
      </c>
      <c r="G100" s="48" t="s">
        <v>16</v>
      </c>
      <c r="H100" s="48" t="s">
        <v>24</v>
      </c>
      <c r="I100" s="48">
        <v>201</v>
      </c>
      <c r="J100" s="48" t="e" vm="1">
        <v>#VALUE!</v>
      </c>
      <c r="K100" s="48" t="e" cm="1" vm="2">
        <f t="array" aca="1" ref="K100" ca="1">_FV(Table2[[#This Row],[City]],"Country/region",TRUE)</f>
        <v>#VALUE!</v>
      </c>
      <c r="L100" s="48">
        <f>Table2[[#This Row],[Quantity]]*Table2[[#This Row],[Price]]</f>
        <v>1002.99</v>
      </c>
    </row>
    <row r="101" spans="2:19" x14ac:dyDescent="0.25">
      <c r="B101" s="48">
        <v>10550</v>
      </c>
      <c r="C101" s="62">
        <v>44892</v>
      </c>
      <c r="D101" s="47" t="s">
        <v>15</v>
      </c>
      <c r="E101" s="48">
        <v>12.99</v>
      </c>
      <c r="F101" s="48" t="s">
        <v>22</v>
      </c>
      <c r="G101" s="48" t="s">
        <v>16</v>
      </c>
      <c r="H101" s="48" t="s">
        <v>24</v>
      </c>
      <c r="I101" s="48">
        <v>462</v>
      </c>
      <c r="J101" s="48" t="e" vm="1">
        <v>#VALUE!</v>
      </c>
      <c r="K101" s="48" t="e" cm="1" vm="2">
        <f t="array" aca="1" ref="K101" ca="1">_FV(Table2[[#This Row],[City]],"Country/region",TRUE)</f>
        <v>#VALUE!</v>
      </c>
      <c r="L101" s="48">
        <f>Table2[[#This Row],[Quantity]]*Table2[[#This Row],[Price]]</f>
        <v>6001.38</v>
      </c>
      <c r="O101" s="54" t="s">
        <v>64</v>
      </c>
      <c r="P101" s="54"/>
      <c r="Q101" s="54"/>
      <c r="R101" s="54"/>
      <c r="S101" s="54"/>
    </row>
    <row r="102" spans="2:19" x14ac:dyDescent="0.25">
      <c r="B102" s="48">
        <v>10551</v>
      </c>
      <c r="C102" s="62">
        <v>44892</v>
      </c>
      <c r="D102" s="47" t="s">
        <v>18</v>
      </c>
      <c r="E102" s="48">
        <v>9.9499999999999993</v>
      </c>
      <c r="F102" s="48" t="s">
        <v>22</v>
      </c>
      <c r="G102" s="48" t="s">
        <v>16</v>
      </c>
      <c r="H102" s="48" t="s">
        <v>24</v>
      </c>
      <c r="I102" s="48">
        <v>202</v>
      </c>
      <c r="J102" s="48" t="e" vm="1">
        <v>#VALUE!</v>
      </c>
      <c r="K102" s="48" t="e" cm="1" vm="2">
        <f t="array" aca="1" ref="K102" ca="1">_FV(Table2[[#This Row],[City]],"Country/region",TRUE)</f>
        <v>#VALUE!</v>
      </c>
      <c r="L102" s="48">
        <f>Table2[[#This Row],[Quantity]]*Table2[[#This Row],[Price]]</f>
        <v>2009.8999999999999</v>
      </c>
      <c r="O102" s="54"/>
      <c r="P102" s="54"/>
      <c r="Q102" s="54"/>
      <c r="R102" s="54"/>
      <c r="S102" s="54"/>
    </row>
    <row r="103" spans="2:19" x14ac:dyDescent="0.25">
      <c r="B103" s="48">
        <v>10552</v>
      </c>
      <c r="C103" s="62">
        <v>44892</v>
      </c>
      <c r="D103" s="47" t="s">
        <v>9</v>
      </c>
      <c r="E103" s="48">
        <v>3.49</v>
      </c>
      <c r="F103" s="48" t="s">
        <v>10</v>
      </c>
      <c r="G103" s="48" t="s">
        <v>16</v>
      </c>
      <c r="H103" s="48" t="s">
        <v>24</v>
      </c>
      <c r="I103" s="48">
        <v>631</v>
      </c>
      <c r="J103" s="48" t="e" vm="1">
        <v>#VALUE!</v>
      </c>
      <c r="K103" s="48" t="e" cm="1" vm="2">
        <f t="array" aca="1" ref="K103" ca="1">_FV(Table2[[#This Row],[City]],"Country/region",TRUE)</f>
        <v>#VALUE!</v>
      </c>
      <c r="L103" s="48">
        <f>Table2[[#This Row],[Quantity]]*Table2[[#This Row],[Price]]</f>
        <v>2202.19</v>
      </c>
    </row>
    <row r="104" spans="2:19" x14ac:dyDescent="0.25">
      <c r="B104" s="48">
        <v>10553</v>
      </c>
      <c r="C104" s="62">
        <v>44892</v>
      </c>
      <c r="D104" s="47" t="s">
        <v>12</v>
      </c>
      <c r="E104" s="48">
        <v>2.95</v>
      </c>
      <c r="F104" s="48" t="s">
        <v>10</v>
      </c>
      <c r="G104" s="48" t="s">
        <v>16</v>
      </c>
      <c r="H104" s="48" t="s">
        <v>24</v>
      </c>
      <c r="I104" s="48">
        <v>746</v>
      </c>
      <c r="J104" s="48" t="e" vm="1">
        <v>#VALUE!</v>
      </c>
      <c r="K104" s="48" t="e" cm="1" vm="2">
        <f t="array" aca="1" ref="K104" ca="1">_FV(Table2[[#This Row],[City]],"Country/region",TRUE)</f>
        <v>#VALUE!</v>
      </c>
      <c r="L104" s="48">
        <f>Table2[[#This Row],[Quantity]]*Table2[[#This Row],[Price]]</f>
        <v>2200.7000000000003</v>
      </c>
    </row>
    <row r="105" spans="2:19" x14ac:dyDescent="0.25">
      <c r="B105" s="48">
        <v>10554</v>
      </c>
      <c r="C105" s="62">
        <v>44892</v>
      </c>
      <c r="D105" s="47" t="s">
        <v>13</v>
      </c>
      <c r="E105" s="48">
        <v>4.99</v>
      </c>
      <c r="F105" s="48" t="s">
        <v>10</v>
      </c>
      <c r="G105" s="48" t="s">
        <v>16</v>
      </c>
      <c r="H105" s="48" t="s">
        <v>24</v>
      </c>
      <c r="I105" s="48">
        <v>201</v>
      </c>
      <c r="J105" s="48" t="e" vm="1">
        <v>#VALUE!</v>
      </c>
      <c r="K105" s="48" t="e" cm="1" vm="2">
        <f t="array" aca="1" ref="K105" ca="1">_FV(Table2[[#This Row],[City]],"Country/region",TRUE)</f>
        <v>#VALUE!</v>
      </c>
      <c r="L105" s="48">
        <f>Table2[[#This Row],[Quantity]]*Table2[[#This Row],[Price]]</f>
        <v>1002.99</v>
      </c>
    </row>
    <row r="106" spans="2:19" x14ac:dyDescent="0.25">
      <c r="B106" s="48">
        <v>10555</v>
      </c>
      <c r="C106" s="62">
        <v>44893</v>
      </c>
      <c r="D106" s="47" t="s">
        <v>15</v>
      </c>
      <c r="E106" s="48">
        <v>12.99</v>
      </c>
      <c r="F106" s="48" t="s">
        <v>10</v>
      </c>
      <c r="G106" s="48" t="s">
        <v>16</v>
      </c>
      <c r="H106" s="48" t="s">
        <v>24</v>
      </c>
      <c r="I106" s="48">
        <v>478</v>
      </c>
      <c r="J106" s="48" t="e" vm="1">
        <v>#VALUE!</v>
      </c>
      <c r="K106" s="48" t="e" cm="1" vm="2">
        <f t="array" aca="1" ref="K106" ca="1">_FV(Table2[[#This Row],[City]],"Country/region",TRUE)</f>
        <v>#VALUE!</v>
      </c>
      <c r="L106" s="48">
        <f>Table2[[#This Row],[Quantity]]*Table2[[#This Row],[Price]]</f>
        <v>6209.22</v>
      </c>
    </row>
    <row r="107" spans="2:19" x14ac:dyDescent="0.25">
      <c r="B107" s="48">
        <v>10556</v>
      </c>
      <c r="C107" s="62">
        <v>44893</v>
      </c>
      <c r="D107" s="47" t="s">
        <v>18</v>
      </c>
      <c r="E107" s="48">
        <v>9.9499999999999993</v>
      </c>
      <c r="F107" s="48" t="s">
        <v>10</v>
      </c>
      <c r="G107" s="48" t="s">
        <v>16</v>
      </c>
      <c r="H107" s="48" t="s">
        <v>24</v>
      </c>
      <c r="I107" s="48">
        <v>202</v>
      </c>
      <c r="J107" s="48" t="e" vm="1">
        <v>#VALUE!</v>
      </c>
      <c r="K107" s="48" t="e" cm="1" vm="2">
        <f t="array" aca="1" ref="K107" ca="1">_FV(Table2[[#This Row],[City]],"Country/region",TRUE)</f>
        <v>#VALUE!</v>
      </c>
      <c r="L107" s="48">
        <f>Table2[[#This Row],[Quantity]]*Table2[[#This Row],[Price]]</f>
        <v>2009.8999999999999</v>
      </c>
    </row>
    <row r="108" spans="2:19" x14ac:dyDescent="0.25">
      <c r="B108" s="48">
        <v>10557</v>
      </c>
      <c r="C108" s="62">
        <v>44893</v>
      </c>
      <c r="D108" s="47" t="s">
        <v>9</v>
      </c>
      <c r="E108" s="48">
        <v>3.49</v>
      </c>
      <c r="F108" s="48" t="s">
        <v>10</v>
      </c>
      <c r="G108" s="48" t="s">
        <v>16</v>
      </c>
      <c r="H108" s="48" t="s">
        <v>24</v>
      </c>
      <c r="I108" s="48">
        <v>631</v>
      </c>
      <c r="J108" s="48" t="e" vm="1">
        <v>#VALUE!</v>
      </c>
      <c r="K108" s="48" t="e" cm="1" vm="2">
        <f t="array" aca="1" ref="K108" ca="1">_FV(Table2[[#This Row],[City]],"Country/region",TRUE)</f>
        <v>#VALUE!</v>
      </c>
      <c r="L108" s="48">
        <f>Table2[[#This Row],[Quantity]]*Table2[[#This Row],[Price]]</f>
        <v>2202.19</v>
      </c>
    </row>
    <row r="109" spans="2:19" x14ac:dyDescent="0.25">
      <c r="B109" s="48">
        <v>10558</v>
      </c>
      <c r="C109" s="62">
        <v>44893</v>
      </c>
      <c r="D109" s="47" t="s">
        <v>12</v>
      </c>
      <c r="E109" s="48">
        <v>2.95</v>
      </c>
      <c r="F109" s="48" t="s">
        <v>10</v>
      </c>
      <c r="G109" s="48" t="s">
        <v>16</v>
      </c>
      <c r="H109" s="48" t="s">
        <v>24</v>
      </c>
      <c r="I109" s="48">
        <v>678</v>
      </c>
      <c r="J109" s="48" t="e" vm="1">
        <v>#VALUE!</v>
      </c>
      <c r="K109" s="48" t="e" cm="1" vm="2">
        <f t="array" aca="1" ref="K109" ca="1">_FV(Table2[[#This Row],[City]],"Country/region",TRUE)</f>
        <v>#VALUE!</v>
      </c>
      <c r="L109" s="48">
        <f>Table2[[#This Row],[Quantity]]*Table2[[#This Row],[Price]]</f>
        <v>2000.1000000000001</v>
      </c>
    </row>
    <row r="110" spans="2:19" x14ac:dyDescent="0.25">
      <c r="B110" s="48">
        <v>10559</v>
      </c>
      <c r="C110" s="62">
        <v>44893</v>
      </c>
      <c r="D110" s="47" t="s">
        <v>13</v>
      </c>
      <c r="E110" s="48">
        <v>4.99</v>
      </c>
      <c r="F110" s="48" t="s">
        <v>10</v>
      </c>
      <c r="G110" s="48" t="s">
        <v>16</v>
      </c>
      <c r="H110" s="48" t="s">
        <v>24</v>
      </c>
      <c r="I110" s="48">
        <v>201</v>
      </c>
      <c r="J110" s="48" t="e" vm="1">
        <v>#VALUE!</v>
      </c>
      <c r="K110" s="48" t="e" cm="1" vm="2">
        <f t="array" aca="1" ref="K110" ca="1">_FV(Table2[[#This Row],[City]],"Country/region",TRUE)</f>
        <v>#VALUE!</v>
      </c>
      <c r="L110" s="48">
        <f>Table2[[#This Row],[Quantity]]*Table2[[#This Row],[Price]]</f>
        <v>1002.99</v>
      </c>
    </row>
    <row r="111" spans="2:19" x14ac:dyDescent="0.25">
      <c r="B111" s="48">
        <v>10560</v>
      </c>
      <c r="C111" s="62">
        <v>44894</v>
      </c>
      <c r="D111" s="47" t="s">
        <v>15</v>
      </c>
      <c r="E111" s="48">
        <v>12.99</v>
      </c>
      <c r="F111" s="48" t="s">
        <v>10</v>
      </c>
      <c r="G111" s="48" t="s">
        <v>16</v>
      </c>
      <c r="H111" s="48" t="s">
        <v>24</v>
      </c>
      <c r="I111" s="48">
        <v>478</v>
      </c>
      <c r="J111" s="48" t="e" vm="1">
        <v>#VALUE!</v>
      </c>
      <c r="K111" s="48" t="e" cm="1" vm="2">
        <f t="array" aca="1" ref="K111" ca="1">_FV(Table2[[#This Row],[City]],"Country/region",TRUE)</f>
        <v>#VALUE!</v>
      </c>
      <c r="L111" s="48">
        <f>Table2[[#This Row],[Quantity]]*Table2[[#This Row],[Price]]</f>
        <v>6209.22</v>
      </c>
    </row>
    <row r="112" spans="2:19" x14ac:dyDescent="0.25">
      <c r="B112" s="48">
        <v>10561</v>
      </c>
      <c r="C112" s="62">
        <v>44894</v>
      </c>
      <c r="D112" s="47" t="s">
        <v>18</v>
      </c>
      <c r="E112" s="48">
        <v>9.9499999999999993</v>
      </c>
      <c r="F112" s="48" t="s">
        <v>10</v>
      </c>
      <c r="G112" s="48" t="s">
        <v>16</v>
      </c>
      <c r="H112" s="48" t="s">
        <v>24</v>
      </c>
      <c r="I112" s="48">
        <v>202</v>
      </c>
      <c r="J112" s="48" t="e" vm="1">
        <v>#VALUE!</v>
      </c>
      <c r="K112" s="48" t="e" cm="1" vm="2">
        <f t="array" aca="1" ref="K112" ca="1">_FV(Table2[[#This Row],[City]],"Country/region",TRUE)</f>
        <v>#VALUE!</v>
      </c>
      <c r="L112" s="48">
        <f>Table2[[#This Row],[Quantity]]*Table2[[#This Row],[Price]]</f>
        <v>2009.8999999999999</v>
      </c>
    </row>
    <row r="113" spans="2:12" x14ac:dyDescent="0.25">
      <c r="B113" s="48">
        <v>10562</v>
      </c>
      <c r="C113" s="62">
        <v>44894</v>
      </c>
      <c r="D113" s="47" t="s">
        <v>9</v>
      </c>
      <c r="E113" s="48">
        <v>3.49</v>
      </c>
      <c r="F113" s="48" t="s">
        <v>10</v>
      </c>
      <c r="G113" s="48" t="s">
        <v>16</v>
      </c>
      <c r="H113" s="48" t="s">
        <v>24</v>
      </c>
      <c r="I113" s="48">
        <v>631</v>
      </c>
      <c r="J113" s="48" t="e" vm="1">
        <v>#VALUE!</v>
      </c>
      <c r="K113" s="48" t="e" cm="1" vm="2">
        <f t="array" aca="1" ref="K113" ca="1">_FV(Table2[[#This Row],[City]],"Country/region",TRUE)</f>
        <v>#VALUE!</v>
      </c>
      <c r="L113" s="48">
        <f>Table2[[#This Row],[Quantity]]*Table2[[#This Row],[Price]]</f>
        <v>2202.19</v>
      </c>
    </row>
    <row r="114" spans="2:12" x14ac:dyDescent="0.25">
      <c r="B114" s="48">
        <v>10563</v>
      </c>
      <c r="C114" s="62">
        <v>44894</v>
      </c>
      <c r="D114" s="47" t="s">
        <v>12</v>
      </c>
      <c r="E114" s="48">
        <v>2.95</v>
      </c>
      <c r="F114" s="48" t="s">
        <v>10</v>
      </c>
      <c r="G114" s="48" t="s">
        <v>16</v>
      </c>
      <c r="H114" s="48" t="s">
        <v>24</v>
      </c>
      <c r="I114" s="48">
        <v>678</v>
      </c>
      <c r="J114" s="48" t="e" vm="1">
        <v>#VALUE!</v>
      </c>
      <c r="K114" s="48" t="e" cm="1" vm="2">
        <f t="array" aca="1" ref="K114" ca="1">_FV(Table2[[#This Row],[City]],"Country/region",TRUE)</f>
        <v>#VALUE!</v>
      </c>
      <c r="L114" s="48">
        <f>Table2[[#This Row],[Quantity]]*Table2[[#This Row],[Price]]</f>
        <v>2000.1000000000001</v>
      </c>
    </row>
    <row r="115" spans="2:12" x14ac:dyDescent="0.25">
      <c r="B115" s="48">
        <v>10564</v>
      </c>
      <c r="C115" s="62">
        <v>44894</v>
      </c>
      <c r="D115" s="47" t="s">
        <v>13</v>
      </c>
      <c r="E115" s="48">
        <v>4.99</v>
      </c>
      <c r="F115" s="48" t="s">
        <v>10</v>
      </c>
      <c r="G115" s="48" t="s">
        <v>16</v>
      </c>
      <c r="H115" s="48" t="s">
        <v>24</v>
      </c>
      <c r="I115" s="48">
        <v>201</v>
      </c>
      <c r="J115" s="48" t="e" vm="1">
        <v>#VALUE!</v>
      </c>
      <c r="K115" s="48" t="e" cm="1" vm="2">
        <f t="array" aca="1" ref="K115" ca="1">_FV(Table2[[#This Row],[City]],"Country/region",TRUE)</f>
        <v>#VALUE!</v>
      </c>
      <c r="L115" s="48">
        <f>Table2[[#This Row],[Quantity]]*Table2[[#This Row],[Price]]</f>
        <v>1002.99</v>
      </c>
    </row>
    <row r="116" spans="2:12" x14ac:dyDescent="0.25">
      <c r="B116" s="48">
        <v>10565</v>
      </c>
      <c r="C116" s="62">
        <v>44895</v>
      </c>
      <c r="D116" s="47" t="s">
        <v>15</v>
      </c>
      <c r="E116" s="48">
        <v>12.99</v>
      </c>
      <c r="F116" s="48" t="s">
        <v>10</v>
      </c>
      <c r="G116" s="48" t="s">
        <v>16</v>
      </c>
      <c r="H116" s="48" t="s">
        <v>24</v>
      </c>
      <c r="I116" s="48">
        <v>493</v>
      </c>
      <c r="J116" s="48" t="e" vm="1">
        <v>#VALUE!</v>
      </c>
      <c r="K116" s="48" t="e" cm="1" vm="2">
        <f t="array" aca="1" ref="K116" ca="1">_FV(Table2[[#This Row],[City]],"Country/region",TRUE)</f>
        <v>#VALUE!</v>
      </c>
      <c r="L116" s="48">
        <f>Table2[[#This Row],[Quantity]]*Table2[[#This Row],[Price]]</f>
        <v>6404.07</v>
      </c>
    </row>
    <row r="117" spans="2:12" x14ac:dyDescent="0.25">
      <c r="B117" s="48">
        <v>10566</v>
      </c>
      <c r="C117" s="62">
        <v>44895</v>
      </c>
      <c r="D117" s="47" t="s">
        <v>18</v>
      </c>
      <c r="E117" s="48">
        <v>9.9499999999999993</v>
      </c>
      <c r="F117" s="48" t="s">
        <v>10</v>
      </c>
      <c r="G117" s="48" t="s">
        <v>16</v>
      </c>
      <c r="H117" s="48" t="s">
        <v>24</v>
      </c>
      <c r="I117" s="48">
        <v>202</v>
      </c>
      <c r="J117" s="48" t="e" vm="1">
        <v>#VALUE!</v>
      </c>
      <c r="K117" s="48" t="e" cm="1" vm="2">
        <f t="array" aca="1" ref="K117" ca="1">_FV(Table2[[#This Row],[City]],"Country/region",TRUE)</f>
        <v>#VALUE!</v>
      </c>
      <c r="L117" s="48">
        <f>Table2[[#This Row],[Quantity]]*Table2[[#This Row],[Price]]</f>
        <v>2009.8999999999999</v>
      </c>
    </row>
    <row r="118" spans="2:12" x14ac:dyDescent="0.25">
      <c r="B118" s="48">
        <v>10567</v>
      </c>
      <c r="C118" s="62">
        <v>44895</v>
      </c>
      <c r="D118" s="47" t="s">
        <v>9</v>
      </c>
      <c r="E118" s="48">
        <v>3.49</v>
      </c>
      <c r="F118" s="48" t="s">
        <v>10</v>
      </c>
      <c r="G118" s="48" t="s">
        <v>16</v>
      </c>
      <c r="H118" s="48" t="s">
        <v>24</v>
      </c>
      <c r="I118" s="48">
        <v>631</v>
      </c>
      <c r="J118" s="48" t="e" vm="1">
        <v>#VALUE!</v>
      </c>
      <c r="K118" s="48" t="e" cm="1" vm="2">
        <f t="array" aca="1" ref="K118" ca="1">_FV(Table2[[#This Row],[City]],"Country/region",TRUE)</f>
        <v>#VALUE!</v>
      </c>
      <c r="L118" s="48">
        <f>Table2[[#This Row],[Quantity]]*Table2[[#This Row],[Price]]</f>
        <v>2202.19</v>
      </c>
    </row>
    <row r="119" spans="2:12" x14ac:dyDescent="0.25">
      <c r="B119" s="48">
        <v>10568</v>
      </c>
      <c r="C119" s="62">
        <v>44895</v>
      </c>
      <c r="D119" s="47" t="s">
        <v>12</v>
      </c>
      <c r="E119" s="48">
        <v>2.95</v>
      </c>
      <c r="F119" s="48" t="s">
        <v>10</v>
      </c>
      <c r="G119" s="48" t="s">
        <v>16</v>
      </c>
      <c r="H119" s="48" t="s">
        <v>24</v>
      </c>
      <c r="I119" s="48">
        <v>678</v>
      </c>
      <c r="J119" s="48" t="e" vm="1">
        <v>#VALUE!</v>
      </c>
      <c r="K119" s="48" t="e" cm="1" vm="2">
        <f t="array" aca="1" ref="K119" ca="1">_FV(Table2[[#This Row],[City]],"Country/region",TRUE)</f>
        <v>#VALUE!</v>
      </c>
      <c r="L119" s="48">
        <f>Table2[[#This Row],[Quantity]]*Table2[[#This Row],[Price]]</f>
        <v>2000.1000000000001</v>
      </c>
    </row>
    <row r="120" spans="2:12" x14ac:dyDescent="0.25">
      <c r="B120" s="48">
        <v>10569</v>
      </c>
      <c r="C120" s="62">
        <v>44895</v>
      </c>
      <c r="D120" s="47" t="s">
        <v>13</v>
      </c>
      <c r="E120" s="48">
        <v>4.99</v>
      </c>
      <c r="F120" s="48" t="s">
        <v>10</v>
      </c>
      <c r="G120" s="48" t="s">
        <v>16</v>
      </c>
      <c r="H120" s="48" t="s">
        <v>24</v>
      </c>
      <c r="I120" s="48">
        <v>201</v>
      </c>
      <c r="J120" s="48" t="e" vm="1">
        <v>#VALUE!</v>
      </c>
      <c r="K120" s="48" t="e" cm="1" vm="2">
        <f t="array" aca="1" ref="K120" ca="1">_FV(Table2[[#This Row],[City]],"Country/region",TRUE)</f>
        <v>#VALUE!</v>
      </c>
      <c r="L120" s="48">
        <f>Table2[[#This Row],[Quantity]]*Table2[[#This Row],[Price]]</f>
        <v>1002.99</v>
      </c>
    </row>
    <row r="121" spans="2:12" x14ac:dyDescent="0.25">
      <c r="B121" s="48">
        <v>10570</v>
      </c>
      <c r="C121" s="62">
        <v>44896</v>
      </c>
      <c r="D121" s="47" t="s">
        <v>15</v>
      </c>
      <c r="E121" s="48">
        <v>12.99</v>
      </c>
      <c r="F121" s="48" t="s">
        <v>10</v>
      </c>
      <c r="G121" s="48" t="s">
        <v>16</v>
      </c>
      <c r="H121" s="48" t="s">
        <v>24</v>
      </c>
      <c r="I121" s="48">
        <v>493</v>
      </c>
      <c r="J121" s="48" t="e" vm="1">
        <v>#VALUE!</v>
      </c>
      <c r="K121" s="48" t="e" cm="1" vm="2">
        <f t="array" aca="1" ref="K121" ca="1">_FV(Table2[[#This Row],[City]],"Country/region",TRUE)</f>
        <v>#VALUE!</v>
      </c>
      <c r="L121" s="48">
        <f>Table2[[#This Row],[Quantity]]*Table2[[#This Row],[Price]]</f>
        <v>6404.07</v>
      </c>
    </row>
    <row r="122" spans="2:12" x14ac:dyDescent="0.25">
      <c r="B122" s="48">
        <v>10571</v>
      </c>
      <c r="C122" s="62">
        <v>44896</v>
      </c>
      <c r="D122" s="47" t="s">
        <v>18</v>
      </c>
      <c r="E122" s="48">
        <v>9.9499999999999993</v>
      </c>
      <c r="F122" s="48" t="s">
        <v>10</v>
      </c>
      <c r="G122" s="48" t="s">
        <v>16</v>
      </c>
      <c r="H122" s="48" t="s">
        <v>24</v>
      </c>
      <c r="I122" s="48">
        <v>202</v>
      </c>
      <c r="J122" s="48" t="e" vm="1">
        <v>#VALUE!</v>
      </c>
      <c r="K122" s="48" t="e" cm="1" vm="2">
        <f t="array" aca="1" ref="K122" ca="1">_FV(Table2[[#This Row],[City]],"Country/region",TRUE)</f>
        <v>#VALUE!</v>
      </c>
      <c r="L122" s="48">
        <f>Table2[[#This Row],[Quantity]]*Table2[[#This Row],[Price]]</f>
        <v>2009.8999999999999</v>
      </c>
    </row>
    <row r="123" spans="2:12" x14ac:dyDescent="0.25">
      <c r="B123" s="48">
        <v>10572</v>
      </c>
      <c r="C123" s="62">
        <v>44896</v>
      </c>
      <c r="D123" s="47" t="s">
        <v>9</v>
      </c>
      <c r="E123" s="48">
        <v>3.49</v>
      </c>
      <c r="F123" s="48" t="s">
        <v>10</v>
      </c>
      <c r="G123" s="48" t="s">
        <v>16</v>
      </c>
      <c r="H123" s="48" t="s">
        <v>19</v>
      </c>
      <c r="I123" s="48">
        <v>574</v>
      </c>
      <c r="J123" s="48" t="e" vm="9">
        <v>#VALUE!</v>
      </c>
      <c r="K123" s="48" t="e" cm="1" vm="10">
        <f t="array" aca="1" ref="K123" ca="1">_FV(Table2[[#This Row],[City]],"Country/region",TRUE)</f>
        <v>#VALUE!</v>
      </c>
      <c r="L123" s="48">
        <f>Table2[[#This Row],[Quantity]]*Table2[[#This Row],[Price]]</f>
        <v>2003.2600000000002</v>
      </c>
    </row>
    <row r="124" spans="2:12" x14ac:dyDescent="0.25">
      <c r="B124" s="48">
        <v>10573</v>
      </c>
      <c r="C124" s="62">
        <v>44896</v>
      </c>
      <c r="D124" s="47" t="s">
        <v>12</v>
      </c>
      <c r="E124" s="48">
        <v>2.95</v>
      </c>
      <c r="F124" s="48" t="s">
        <v>10</v>
      </c>
      <c r="G124" s="48" t="s">
        <v>16</v>
      </c>
      <c r="H124" s="48" t="s">
        <v>19</v>
      </c>
      <c r="I124" s="48">
        <v>678</v>
      </c>
      <c r="J124" s="48" t="e" vm="9">
        <v>#VALUE!</v>
      </c>
      <c r="K124" s="48" t="e" cm="1" vm="10">
        <f t="array" aca="1" ref="K124" ca="1">_FV(Table2[[#This Row],[City]],"Country/region",TRUE)</f>
        <v>#VALUE!</v>
      </c>
      <c r="L124" s="48">
        <f>Table2[[#This Row],[Quantity]]*Table2[[#This Row],[Price]]</f>
        <v>2000.1000000000001</v>
      </c>
    </row>
    <row r="125" spans="2:12" x14ac:dyDescent="0.25">
      <c r="B125" s="48">
        <v>10574</v>
      </c>
      <c r="C125" s="62">
        <v>44896</v>
      </c>
      <c r="D125" s="47" t="s">
        <v>13</v>
      </c>
      <c r="E125" s="48">
        <v>4.99</v>
      </c>
      <c r="F125" s="48" t="s">
        <v>10</v>
      </c>
      <c r="G125" s="48" t="s">
        <v>16</v>
      </c>
      <c r="H125" s="48" t="s">
        <v>19</v>
      </c>
      <c r="I125" s="48">
        <v>201</v>
      </c>
      <c r="J125" s="48" t="e" vm="9">
        <v>#VALUE!</v>
      </c>
      <c r="K125" s="48" t="e" cm="1" vm="10">
        <f t="array" aca="1" ref="K125" ca="1">_FV(Table2[[#This Row],[City]],"Country/region",TRUE)</f>
        <v>#VALUE!</v>
      </c>
      <c r="L125" s="48">
        <f>Table2[[#This Row],[Quantity]]*Table2[[#This Row],[Price]]</f>
        <v>1002.99</v>
      </c>
    </row>
    <row r="126" spans="2:12" x14ac:dyDescent="0.25">
      <c r="B126" s="48">
        <v>10575</v>
      </c>
      <c r="C126" s="62">
        <v>44897</v>
      </c>
      <c r="D126" s="47" t="s">
        <v>15</v>
      </c>
      <c r="E126" s="48">
        <v>12.99</v>
      </c>
      <c r="F126" s="48" t="s">
        <v>10</v>
      </c>
      <c r="G126" s="48" t="s">
        <v>16</v>
      </c>
      <c r="H126" s="48" t="s">
        <v>19</v>
      </c>
      <c r="I126" s="48">
        <v>524</v>
      </c>
      <c r="J126" s="48" t="e" vm="9">
        <v>#VALUE!</v>
      </c>
      <c r="K126" s="48" t="e" cm="1" vm="10">
        <f t="array" aca="1" ref="K126" ca="1">_FV(Table2[[#This Row],[City]],"Country/region",TRUE)</f>
        <v>#VALUE!</v>
      </c>
      <c r="L126" s="48">
        <f>Table2[[#This Row],[Quantity]]*Table2[[#This Row],[Price]]</f>
        <v>6806.76</v>
      </c>
    </row>
    <row r="127" spans="2:12" x14ac:dyDescent="0.25">
      <c r="B127" s="48">
        <v>10576</v>
      </c>
      <c r="C127" s="62">
        <v>44897</v>
      </c>
      <c r="D127" s="47" t="s">
        <v>18</v>
      </c>
      <c r="E127" s="48">
        <v>9.9499999999999993</v>
      </c>
      <c r="F127" s="48" t="s">
        <v>10</v>
      </c>
      <c r="G127" s="48" t="s">
        <v>16</v>
      </c>
      <c r="H127" s="48" t="s">
        <v>19</v>
      </c>
      <c r="I127" s="48">
        <v>202</v>
      </c>
      <c r="J127" s="48" t="e" vm="9">
        <v>#VALUE!</v>
      </c>
      <c r="K127" s="48" t="e" cm="1" vm="10">
        <f t="array" aca="1" ref="K127" ca="1">_FV(Table2[[#This Row],[City]],"Country/region",TRUE)</f>
        <v>#VALUE!</v>
      </c>
      <c r="L127" s="48">
        <f>Table2[[#This Row],[Quantity]]*Table2[[#This Row],[Price]]</f>
        <v>2009.8999999999999</v>
      </c>
    </row>
    <row r="128" spans="2:12" x14ac:dyDescent="0.25">
      <c r="B128" s="48">
        <v>10577</v>
      </c>
      <c r="C128" s="62">
        <v>44897</v>
      </c>
      <c r="D128" s="47" t="s">
        <v>9</v>
      </c>
      <c r="E128" s="48">
        <v>3.49</v>
      </c>
      <c r="F128" s="48" t="s">
        <v>10</v>
      </c>
      <c r="G128" s="48" t="s">
        <v>16</v>
      </c>
      <c r="H128" s="48" t="s">
        <v>19</v>
      </c>
      <c r="I128" s="48">
        <v>631</v>
      </c>
      <c r="J128" s="48" t="e" vm="9">
        <v>#VALUE!</v>
      </c>
      <c r="K128" s="48" t="e" cm="1" vm="10">
        <f t="array" aca="1" ref="K128" ca="1">_FV(Table2[[#This Row],[City]],"Country/region",TRUE)</f>
        <v>#VALUE!</v>
      </c>
      <c r="L128" s="48">
        <f>Table2[[#This Row],[Quantity]]*Table2[[#This Row],[Price]]</f>
        <v>2202.19</v>
      </c>
    </row>
    <row r="129" spans="2:12" x14ac:dyDescent="0.25">
      <c r="B129" s="48">
        <v>10578</v>
      </c>
      <c r="C129" s="62">
        <v>44897</v>
      </c>
      <c r="D129" s="47" t="s">
        <v>12</v>
      </c>
      <c r="E129" s="48">
        <v>2.95</v>
      </c>
      <c r="F129" s="48" t="s">
        <v>10</v>
      </c>
      <c r="G129" s="48" t="s">
        <v>16</v>
      </c>
      <c r="H129" s="48" t="s">
        <v>19</v>
      </c>
      <c r="I129" s="48">
        <v>678</v>
      </c>
      <c r="J129" s="48" t="e" vm="9">
        <v>#VALUE!</v>
      </c>
      <c r="K129" s="48" t="e" cm="1" vm="10">
        <f t="array" aca="1" ref="K129" ca="1">_FV(Table2[[#This Row],[City]],"Country/region",TRUE)</f>
        <v>#VALUE!</v>
      </c>
      <c r="L129" s="48">
        <f>Table2[[#This Row],[Quantity]]*Table2[[#This Row],[Price]]</f>
        <v>2000.1000000000001</v>
      </c>
    </row>
    <row r="130" spans="2:12" x14ac:dyDescent="0.25">
      <c r="B130" s="48">
        <v>10579</v>
      </c>
      <c r="C130" s="62">
        <v>44897</v>
      </c>
      <c r="D130" s="47" t="s">
        <v>13</v>
      </c>
      <c r="E130" s="48">
        <v>4.99</v>
      </c>
      <c r="F130" s="48" t="s">
        <v>10</v>
      </c>
      <c r="G130" s="48" t="s">
        <v>16</v>
      </c>
      <c r="H130" s="48" t="s">
        <v>19</v>
      </c>
      <c r="I130" s="48">
        <v>201</v>
      </c>
      <c r="J130" s="48" t="e" vm="9">
        <v>#VALUE!</v>
      </c>
      <c r="K130" s="48" t="e" cm="1" vm="10">
        <f t="array" aca="1" ref="K130" ca="1">_FV(Table2[[#This Row],[City]],"Country/region",TRUE)</f>
        <v>#VALUE!</v>
      </c>
      <c r="L130" s="48">
        <f>Table2[[#This Row],[Quantity]]*Table2[[#This Row],[Price]]</f>
        <v>1002.99</v>
      </c>
    </row>
    <row r="131" spans="2:12" x14ac:dyDescent="0.25">
      <c r="B131" s="48">
        <v>10580</v>
      </c>
      <c r="C131" s="62">
        <v>44898</v>
      </c>
      <c r="D131" s="47" t="s">
        <v>15</v>
      </c>
      <c r="E131" s="48">
        <v>12.99</v>
      </c>
      <c r="F131" s="48" t="s">
        <v>10</v>
      </c>
      <c r="G131" s="48" t="s">
        <v>16</v>
      </c>
      <c r="H131" s="48" t="s">
        <v>19</v>
      </c>
      <c r="I131" s="48">
        <v>524</v>
      </c>
      <c r="J131" s="48" t="e" vm="9">
        <v>#VALUE!</v>
      </c>
      <c r="K131" s="48" t="e" cm="1" vm="10">
        <f t="array" aca="1" ref="K131" ca="1">_FV(Table2[[#This Row],[City]],"Country/region",TRUE)</f>
        <v>#VALUE!</v>
      </c>
      <c r="L131" s="48">
        <f>Table2[[#This Row],[Quantity]]*Table2[[#This Row],[Price]]</f>
        <v>6806.76</v>
      </c>
    </row>
    <row r="132" spans="2:12" x14ac:dyDescent="0.25">
      <c r="B132" s="48">
        <v>10581</v>
      </c>
      <c r="C132" s="62">
        <v>44898</v>
      </c>
      <c r="D132" s="47" t="s">
        <v>18</v>
      </c>
      <c r="E132" s="48">
        <v>9.9499999999999993</v>
      </c>
      <c r="F132" s="48" t="s">
        <v>10</v>
      </c>
      <c r="G132" s="48" t="s">
        <v>16</v>
      </c>
      <c r="H132" s="48" t="s">
        <v>19</v>
      </c>
      <c r="I132" s="48">
        <v>202</v>
      </c>
      <c r="J132" s="48" t="e" vm="9">
        <v>#VALUE!</v>
      </c>
      <c r="K132" s="48" t="e" cm="1" vm="10">
        <f t="array" aca="1" ref="K132" ca="1">_FV(Table2[[#This Row],[City]],"Country/region",TRUE)</f>
        <v>#VALUE!</v>
      </c>
      <c r="L132" s="48">
        <f>Table2[[#This Row],[Quantity]]*Table2[[#This Row],[Price]]</f>
        <v>2009.8999999999999</v>
      </c>
    </row>
    <row r="133" spans="2:12" x14ac:dyDescent="0.25">
      <c r="B133" s="48">
        <v>10582</v>
      </c>
      <c r="C133" s="62">
        <v>44898</v>
      </c>
      <c r="D133" s="47" t="s">
        <v>9</v>
      </c>
      <c r="E133" s="48">
        <v>3.49</v>
      </c>
      <c r="F133" s="48" t="s">
        <v>10</v>
      </c>
      <c r="G133" s="48" t="s">
        <v>16</v>
      </c>
      <c r="H133" s="48" t="s">
        <v>24</v>
      </c>
      <c r="I133" s="48">
        <v>631</v>
      </c>
      <c r="J133" s="48" t="e" vm="1">
        <v>#VALUE!</v>
      </c>
      <c r="K133" s="48" t="e" cm="1" vm="2">
        <f t="array" aca="1" ref="K133" ca="1">_FV(Table2[[#This Row],[City]],"Country/region",TRUE)</f>
        <v>#VALUE!</v>
      </c>
      <c r="L133" s="48">
        <f>Table2[[#This Row],[Quantity]]*Table2[[#This Row],[Price]]</f>
        <v>2202.19</v>
      </c>
    </row>
    <row r="134" spans="2:12" x14ac:dyDescent="0.25">
      <c r="B134" s="48">
        <v>10583</v>
      </c>
      <c r="C134" s="62">
        <v>44898</v>
      </c>
      <c r="D134" s="47" t="s">
        <v>12</v>
      </c>
      <c r="E134" s="48">
        <v>2.95</v>
      </c>
      <c r="F134" s="48" t="s">
        <v>10</v>
      </c>
      <c r="G134" s="48" t="s">
        <v>16</v>
      </c>
      <c r="H134" s="48" t="s">
        <v>24</v>
      </c>
      <c r="I134" s="48">
        <v>678</v>
      </c>
      <c r="J134" s="48" t="e" vm="1">
        <v>#VALUE!</v>
      </c>
      <c r="K134" s="48" t="e" cm="1" vm="2">
        <f t="array" aca="1" ref="K134" ca="1">_FV(Table2[[#This Row],[City]],"Country/region",TRUE)</f>
        <v>#VALUE!</v>
      </c>
      <c r="L134" s="48">
        <f>Table2[[#This Row],[Quantity]]*Table2[[#This Row],[Price]]</f>
        <v>2000.1000000000001</v>
      </c>
    </row>
    <row r="135" spans="2:12" x14ac:dyDescent="0.25">
      <c r="B135" s="48">
        <v>10584</v>
      </c>
      <c r="C135" s="62">
        <v>44898</v>
      </c>
      <c r="D135" s="47" t="s">
        <v>13</v>
      </c>
      <c r="E135" s="48">
        <v>4.99</v>
      </c>
      <c r="F135" s="48" t="s">
        <v>10</v>
      </c>
      <c r="G135" s="48" t="s">
        <v>16</v>
      </c>
      <c r="H135" s="48" t="s">
        <v>24</v>
      </c>
      <c r="I135" s="48">
        <v>201</v>
      </c>
      <c r="J135" s="48" t="e" vm="1">
        <v>#VALUE!</v>
      </c>
      <c r="K135" s="48" t="e" cm="1" vm="2">
        <f t="array" aca="1" ref="K135" ca="1">_FV(Table2[[#This Row],[City]],"Country/region",TRUE)</f>
        <v>#VALUE!</v>
      </c>
      <c r="L135" s="48">
        <f>Table2[[#This Row],[Quantity]]*Table2[[#This Row],[Price]]</f>
        <v>1002.99</v>
      </c>
    </row>
    <row r="136" spans="2:12" x14ac:dyDescent="0.25">
      <c r="B136" s="48">
        <v>10585</v>
      </c>
      <c r="C136" s="62">
        <v>44899</v>
      </c>
      <c r="D136" s="47" t="s">
        <v>15</v>
      </c>
      <c r="E136" s="48">
        <v>12.99</v>
      </c>
      <c r="F136" s="48" t="s">
        <v>10</v>
      </c>
      <c r="G136" s="48" t="s">
        <v>16</v>
      </c>
      <c r="H136" s="48" t="s">
        <v>24</v>
      </c>
      <c r="I136" s="48">
        <v>539</v>
      </c>
      <c r="J136" s="48" t="e" vm="1">
        <v>#VALUE!</v>
      </c>
      <c r="K136" s="48" t="e" cm="1" vm="2">
        <f t="array" aca="1" ref="K136" ca="1">_FV(Table2[[#This Row],[City]],"Country/region",TRUE)</f>
        <v>#VALUE!</v>
      </c>
      <c r="L136" s="48">
        <f>Table2[[#This Row],[Quantity]]*Table2[[#This Row],[Price]]</f>
        <v>7001.61</v>
      </c>
    </row>
    <row r="137" spans="2:12" x14ac:dyDescent="0.25">
      <c r="B137" s="48">
        <v>10586</v>
      </c>
      <c r="C137" s="62">
        <v>44899</v>
      </c>
      <c r="D137" s="47" t="s">
        <v>18</v>
      </c>
      <c r="E137" s="48">
        <v>9.9499999999999993</v>
      </c>
      <c r="F137" s="48" t="s">
        <v>10</v>
      </c>
      <c r="G137" s="48" t="s">
        <v>16</v>
      </c>
      <c r="H137" s="48" t="s">
        <v>24</v>
      </c>
      <c r="I137" s="48">
        <v>202</v>
      </c>
      <c r="J137" s="48" t="e" vm="1">
        <v>#VALUE!</v>
      </c>
      <c r="K137" s="48" t="e" cm="1" vm="2">
        <f t="array" aca="1" ref="K137" ca="1">_FV(Table2[[#This Row],[City]],"Country/region",TRUE)</f>
        <v>#VALUE!</v>
      </c>
      <c r="L137" s="48">
        <f>Table2[[#This Row],[Quantity]]*Table2[[#This Row],[Price]]</f>
        <v>2009.8999999999999</v>
      </c>
    </row>
    <row r="138" spans="2:12" x14ac:dyDescent="0.25">
      <c r="B138" s="48">
        <v>10537</v>
      </c>
      <c r="C138" s="62">
        <v>44889</v>
      </c>
      <c r="D138" s="47" t="s">
        <v>9</v>
      </c>
      <c r="E138" s="48">
        <v>3.49</v>
      </c>
      <c r="F138" s="48" t="s">
        <v>22</v>
      </c>
      <c r="G138" s="48" t="s">
        <v>16</v>
      </c>
      <c r="H138" s="48" t="s">
        <v>20</v>
      </c>
      <c r="I138" s="48">
        <v>631</v>
      </c>
      <c r="J138" s="48" t="e" vm="3">
        <v>#VALUE!</v>
      </c>
      <c r="K138" s="48" t="e" cm="1" vm="4">
        <f t="array" aca="1" ref="K138" ca="1">_FV(Table2[[#This Row],[City]],"Country/region",TRUE)</f>
        <v>#VALUE!</v>
      </c>
      <c r="L138" s="48">
        <f>Table2[[#This Row],[Quantity]]*Table2[[#This Row],[Price]]</f>
        <v>2202.19</v>
      </c>
    </row>
    <row r="139" spans="2:12" x14ac:dyDescent="0.25">
      <c r="B139" s="48">
        <v>10538</v>
      </c>
      <c r="C139" s="62">
        <v>44889</v>
      </c>
      <c r="D139" s="47" t="s">
        <v>12</v>
      </c>
      <c r="E139" s="48">
        <v>2.95</v>
      </c>
      <c r="F139" s="48" t="s">
        <v>22</v>
      </c>
      <c r="G139" s="48" t="s">
        <v>16</v>
      </c>
      <c r="H139" s="48" t="s">
        <v>20</v>
      </c>
      <c r="I139" s="48">
        <v>746</v>
      </c>
      <c r="J139" s="48" t="e" vm="3">
        <v>#VALUE!</v>
      </c>
      <c r="K139" s="48" t="e" cm="1" vm="4">
        <f t="array" aca="1" ref="K139" ca="1">_FV(Table2[[#This Row],[City]],"Country/region",TRUE)</f>
        <v>#VALUE!</v>
      </c>
      <c r="L139" s="48">
        <f>Table2[[#This Row],[Quantity]]*Table2[[#This Row],[Price]]</f>
        <v>2200.7000000000003</v>
      </c>
    </row>
    <row r="140" spans="2:12" x14ac:dyDescent="0.25">
      <c r="B140" s="48">
        <v>10539</v>
      </c>
      <c r="C140" s="62">
        <v>44889</v>
      </c>
      <c r="D140" s="47" t="s">
        <v>13</v>
      </c>
      <c r="E140" s="48">
        <v>4.99</v>
      </c>
      <c r="F140" s="48" t="s">
        <v>22</v>
      </c>
      <c r="G140" s="48" t="s">
        <v>16</v>
      </c>
      <c r="H140" s="48" t="s">
        <v>20</v>
      </c>
      <c r="I140" s="48">
        <v>201</v>
      </c>
      <c r="J140" s="48" t="e" vm="3">
        <v>#VALUE!</v>
      </c>
      <c r="K140" s="48" t="e" cm="1" vm="4">
        <f t="array" aca="1" ref="K140" ca="1">_FV(Table2[[#This Row],[City]],"Country/region",TRUE)</f>
        <v>#VALUE!</v>
      </c>
      <c r="L140" s="48">
        <f>Table2[[#This Row],[Quantity]]*Table2[[#This Row],[Price]]</f>
        <v>1002.99</v>
      </c>
    </row>
    <row r="141" spans="2:12" x14ac:dyDescent="0.25">
      <c r="B141" s="48">
        <v>10590</v>
      </c>
      <c r="C141" s="62">
        <v>44900</v>
      </c>
      <c r="D141" s="47" t="s">
        <v>15</v>
      </c>
      <c r="E141" s="48">
        <v>12.99</v>
      </c>
      <c r="F141" s="48" t="s">
        <v>10</v>
      </c>
      <c r="G141" s="48" t="s">
        <v>16</v>
      </c>
      <c r="H141" s="48" t="s">
        <v>24</v>
      </c>
      <c r="I141" s="48">
        <v>555</v>
      </c>
      <c r="J141" s="48" t="e" vm="1">
        <v>#VALUE!</v>
      </c>
      <c r="K141" s="48" t="e" cm="1" vm="2">
        <f t="array" aca="1" ref="K141" ca="1">_FV(Table2[[#This Row],[City]],"Country/region",TRUE)</f>
        <v>#VALUE!</v>
      </c>
      <c r="L141" s="48">
        <f>Table2[[#This Row],[Quantity]]*Table2[[#This Row],[Price]]</f>
        <v>7209.45</v>
      </c>
    </row>
    <row r="142" spans="2:12" x14ac:dyDescent="0.25">
      <c r="B142" s="48">
        <v>10591</v>
      </c>
      <c r="C142" s="62">
        <v>44900</v>
      </c>
      <c r="D142" s="47" t="s">
        <v>18</v>
      </c>
      <c r="E142" s="48">
        <v>9.9499999999999993</v>
      </c>
      <c r="F142" s="48" t="s">
        <v>10</v>
      </c>
      <c r="G142" s="48" t="s">
        <v>16</v>
      </c>
      <c r="H142" s="48" t="s">
        <v>24</v>
      </c>
      <c r="I142" s="48">
        <v>202</v>
      </c>
      <c r="J142" s="48" t="e" vm="1">
        <v>#VALUE!</v>
      </c>
      <c r="K142" s="48" t="e" cm="1" vm="2">
        <f t="array" aca="1" ref="K142" ca="1">_FV(Table2[[#This Row],[City]],"Country/region",TRUE)</f>
        <v>#VALUE!</v>
      </c>
      <c r="L142" s="48">
        <f>Table2[[#This Row],[Quantity]]*Table2[[#This Row],[Price]]</f>
        <v>2009.8999999999999</v>
      </c>
    </row>
    <row r="143" spans="2:12" x14ac:dyDescent="0.25">
      <c r="B143" s="48">
        <v>10592</v>
      </c>
      <c r="C143" s="62">
        <v>44900</v>
      </c>
      <c r="D143" s="47" t="s">
        <v>9</v>
      </c>
      <c r="E143" s="48">
        <v>3.49</v>
      </c>
      <c r="F143" s="48" t="s">
        <v>10</v>
      </c>
      <c r="G143" s="48" t="s">
        <v>16</v>
      </c>
      <c r="H143" s="48" t="s">
        <v>24</v>
      </c>
      <c r="I143" s="48">
        <v>574</v>
      </c>
      <c r="J143" s="48" t="e" vm="1">
        <v>#VALUE!</v>
      </c>
      <c r="K143" s="48" t="e" cm="1" vm="2">
        <f t="array" aca="1" ref="K143" ca="1">_FV(Table2[[#This Row],[City]],"Country/region",TRUE)</f>
        <v>#VALUE!</v>
      </c>
      <c r="L143" s="48">
        <f>Table2[[#This Row],[Quantity]]*Table2[[#This Row],[Price]]</f>
        <v>2003.2600000000002</v>
      </c>
    </row>
    <row r="144" spans="2:12" x14ac:dyDescent="0.25">
      <c r="B144" s="48">
        <v>10593</v>
      </c>
      <c r="C144" s="62">
        <v>44900</v>
      </c>
      <c r="D144" s="47" t="s">
        <v>12</v>
      </c>
      <c r="E144" s="48">
        <v>2.95</v>
      </c>
      <c r="F144" s="48" t="s">
        <v>10</v>
      </c>
      <c r="G144" s="48" t="s">
        <v>16</v>
      </c>
      <c r="H144" s="48" t="s">
        <v>24</v>
      </c>
      <c r="I144" s="48">
        <v>678</v>
      </c>
      <c r="J144" s="48" t="e" vm="1">
        <v>#VALUE!</v>
      </c>
      <c r="K144" s="48" t="e" cm="1" vm="2">
        <f t="array" aca="1" ref="K144" ca="1">_FV(Table2[[#This Row],[City]],"Country/region",TRUE)</f>
        <v>#VALUE!</v>
      </c>
      <c r="L144" s="48">
        <f>Table2[[#This Row],[Quantity]]*Table2[[#This Row],[Price]]</f>
        <v>2000.1000000000001</v>
      </c>
    </row>
    <row r="145" spans="2:12" x14ac:dyDescent="0.25">
      <c r="B145" s="48">
        <v>10594</v>
      </c>
      <c r="C145" s="62">
        <v>44900</v>
      </c>
      <c r="D145" s="47" t="s">
        <v>13</v>
      </c>
      <c r="E145" s="48">
        <v>4.99</v>
      </c>
      <c r="F145" s="48" t="s">
        <v>10</v>
      </c>
      <c r="G145" s="48" t="s">
        <v>16</v>
      </c>
      <c r="H145" s="48" t="s">
        <v>24</v>
      </c>
      <c r="I145" s="48">
        <v>201</v>
      </c>
      <c r="J145" s="48" t="e" vm="1">
        <v>#VALUE!</v>
      </c>
      <c r="K145" s="48" t="e" cm="1" vm="2">
        <f t="array" aca="1" ref="K145" ca="1">_FV(Table2[[#This Row],[City]],"Country/region",TRUE)</f>
        <v>#VALUE!</v>
      </c>
      <c r="L145" s="48">
        <f>Table2[[#This Row],[Quantity]]*Table2[[#This Row],[Price]]</f>
        <v>1002.99</v>
      </c>
    </row>
    <row r="146" spans="2:12" x14ac:dyDescent="0.25">
      <c r="B146" s="48">
        <v>10595</v>
      </c>
      <c r="C146" s="62">
        <v>44901</v>
      </c>
      <c r="D146" s="47" t="s">
        <v>15</v>
      </c>
      <c r="E146" s="48">
        <v>12.99</v>
      </c>
      <c r="F146" s="48" t="s">
        <v>10</v>
      </c>
      <c r="G146" s="48" t="s">
        <v>16</v>
      </c>
      <c r="H146" s="48" t="s">
        <v>24</v>
      </c>
      <c r="I146" s="48">
        <v>539</v>
      </c>
      <c r="J146" s="48" t="e" vm="1">
        <v>#VALUE!</v>
      </c>
      <c r="K146" s="48" t="e" cm="1" vm="2">
        <f t="array" aca="1" ref="K146" ca="1">_FV(Table2[[#This Row],[City]],"Country/region",TRUE)</f>
        <v>#VALUE!</v>
      </c>
      <c r="L146" s="48">
        <f>Table2[[#This Row],[Quantity]]*Table2[[#This Row],[Price]]</f>
        <v>7001.61</v>
      </c>
    </row>
    <row r="147" spans="2:12" x14ac:dyDescent="0.25">
      <c r="B147" s="48">
        <v>10596</v>
      </c>
      <c r="C147" s="62">
        <v>44901</v>
      </c>
      <c r="D147" s="47" t="s">
        <v>18</v>
      </c>
      <c r="E147" s="48">
        <v>9.9499999999999993</v>
      </c>
      <c r="F147" s="48" t="s">
        <v>10</v>
      </c>
      <c r="G147" s="48" t="s">
        <v>16</v>
      </c>
      <c r="H147" s="48" t="s">
        <v>24</v>
      </c>
      <c r="I147" s="48">
        <v>202</v>
      </c>
      <c r="J147" s="48" t="e" vm="1">
        <v>#VALUE!</v>
      </c>
      <c r="K147" s="48" t="e" cm="1" vm="2">
        <f t="array" aca="1" ref="K147" ca="1">_FV(Table2[[#This Row],[City]],"Country/region",TRUE)</f>
        <v>#VALUE!</v>
      </c>
      <c r="L147" s="48">
        <f>Table2[[#This Row],[Quantity]]*Table2[[#This Row],[Price]]</f>
        <v>2009.8999999999999</v>
      </c>
    </row>
    <row r="148" spans="2:12" x14ac:dyDescent="0.25">
      <c r="B148" s="48">
        <v>10597</v>
      </c>
      <c r="C148" s="62">
        <v>44901</v>
      </c>
      <c r="D148" s="47" t="s">
        <v>9</v>
      </c>
      <c r="E148" s="48">
        <v>3.49</v>
      </c>
      <c r="F148" s="48" t="s">
        <v>10</v>
      </c>
      <c r="G148" s="48" t="s">
        <v>16</v>
      </c>
      <c r="H148" s="48" t="s">
        <v>24</v>
      </c>
      <c r="I148" s="48">
        <v>574</v>
      </c>
      <c r="J148" s="48" t="e" vm="1">
        <v>#VALUE!</v>
      </c>
      <c r="K148" s="48" t="e" cm="1" vm="2">
        <f t="array" aca="1" ref="K148" ca="1">_FV(Table2[[#This Row],[City]],"Country/region",TRUE)</f>
        <v>#VALUE!</v>
      </c>
      <c r="L148" s="48">
        <f>Table2[[#This Row],[Quantity]]*Table2[[#This Row],[Price]]</f>
        <v>2003.2600000000002</v>
      </c>
    </row>
    <row r="149" spans="2:12" x14ac:dyDescent="0.25">
      <c r="B149" s="48">
        <v>10598</v>
      </c>
      <c r="C149" s="62">
        <v>44901</v>
      </c>
      <c r="D149" s="47" t="s">
        <v>12</v>
      </c>
      <c r="E149" s="48">
        <v>2.95</v>
      </c>
      <c r="F149" s="48" t="s">
        <v>10</v>
      </c>
      <c r="G149" s="48" t="s">
        <v>16</v>
      </c>
      <c r="H149" s="48" t="s">
        <v>24</v>
      </c>
      <c r="I149" s="48">
        <v>678</v>
      </c>
      <c r="J149" s="48" t="e" vm="1">
        <v>#VALUE!</v>
      </c>
      <c r="K149" s="48" t="e" cm="1" vm="2">
        <f t="array" aca="1" ref="K149" ca="1">_FV(Table2[[#This Row],[City]],"Country/region",TRUE)</f>
        <v>#VALUE!</v>
      </c>
      <c r="L149" s="48">
        <f>Table2[[#This Row],[Quantity]]*Table2[[#This Row],[Price]]</f>
        <v>2000.1000000000001</v>
      </c>
    </row>
    <row r="150" spans="2:12" x14ac:dyDescent="0.25">
      <c r="B150" s="48">
        <v>10599</v>
      </c>
      <c r="C150" s="62">
        <v>44901</v>
      </c>
      <c r="D150" s="47" t="s">
        <v>13</v>
      </c>
      <c r="E150" s="48">
        <v>4.99</v>
      </c>
      <c r="F150" s="48" t="s">
        <v>10</v>
      </c>
      <c r="G150" s="48" t="s">
        <v>16</v>
      </c>
      <c r="H150" s="48" t="s">
        <v>24</v>
      </c>
      <c r="I150" s="48">
        <v>201</v>
      </c>
      <c r="J150" s="48" t="e" vm="1">
        <v>#VALUE!</v>
      </c>
      <c r="K150" s="48" t="e" cm="1" vm="2">
        <f t="array" aca="1" ref="K150" ca="1">_FV(Table2[[#This Row],[City]],"Country/region",TRUE)</f>
        <v>#VALUE!</v>
      </c>
      <c r="L150" s="48">
        <f>Table2[[#This Row],[Quantity]]*Table2[[#This Row],[Price]]</f>
        <v>1002.99</v>
      </c>
    </row>
    <row r="151" spans="2:12" x14ac:dyDescent="0.25">
      <c r="B151" s="48">
        <v>10600</v>
      </c>
      <c r="C151" s="62">
        <v>44902</v>
      </c>
      <c r="D151" s="47" t="s">
        <v>15</v>
      </c>
      <c r="E151" s="48">
        <v>12.99</v>
      </c>
      <c r="F151" s="48" t="s">
        <v>10</v>
      </c>
      <c r="G151" s="48" t="s">
        <v>16</v>
      </c>
      <c r="H151" s="48" t="s">
        <v>24</v>
      </c>
      <c r="I151" s="48">
        <v>524</v>
      </c>
      <c r="J151" s="48" t="e" vm="1">
        <v>#VALUE!</v>
      </c>
      <c r="K151" s="48" t="e" cm="1" vm="2">
        <f t="array" aca="1" ref="K151" ca="1">_FV(Table2[[#This Row],[City]],"Country/region",TRUE)</f>
        <v>#VALUE!</v>
      </c>
      <c r="L151" s="48">
        <f>Table2[[#This Row],[Quantity]]*Table2[[#This Row],[Price]]</f>
        <v>6806.76</v>
      </c>
    </row>
    <row r="152" spans="2:12" x14ac:dyDescent="0.25">
      <c r="B152" s="48">
        <v>10601</v>
      </c>
      <c r="C152" s="62">
        <v>44902</v>
      </c>
      <c r="D152" s="47" t="s">
        <v>18</v>
      </c>
      <c r="E152" s="48">
        <v>9.9499999999999993</v>
      </c>
      <c r="F152" s="48" t="s">
        <v>10</v>
      </c>
      <c r="G152" s="48" t="s">
        <v>16</v>
      </c>
      <c r="H152" s="48" t="s">
        <v>24</v>
      </c>
      <c r="I152" s="48">
        <v>202</v>
      </c>
      <c r="J152" s="48" t="e" vm="1">
        <v>#VALUE!</v>
      </c>
      <c r="K152" s="48" t="e" cm="1" vm="2">
        <f t="array" aca="1" ref="K152" ca="1">_FV(Table2[[#This Row],[City]],"Country/region",TRUE)</f>
        <v>#VALUE!</v>
      </c>
      <c r="L152" s="48">
        <f>Table2[[#This Row],[Quantity]]*Table2[[#This Row],[Price]]</f>
        <v>2009.8999999999999</v>
      </c>
    </row>
    <row r="153" spans="2:12" x14ac:dyDescent="0.25">
      <c r="B153" s="48">
        <v>10602</v>
      </c>
      <c r="C153" s="62">
        <v>44902</v>
      </c>
      <c r="D153" s="47" t="s">
        <v>9</v>
      </c>
      <c r="E153" s="48">
        <v>3.49</v>
      </c>
      <c r="F153" s="48" t="s">
        <v>10</v>
      </c>
      <c r="G153" s="48" t="s">
        <v>23</v>
      </c>
      <c r="H153" s="48" t="s">
        <v>24</v>
      </c>
      <c r="I153" s="48">
        <v>631</v>
      </c>
      <c r="J153" s="48" t="e" vm="1">
        <v>#VALUE!</v>
      </c>
      <c r="K153" s="48" t="e" cm="1" vm="2">
        <f t="array" aca="1" ref="K153" ca="1">_FV(Table2[[#This Row],[City]],"Country/region",TRUE)</f>
        <v>#VALUE!</v>
      </c>
      <c r="L153" s="48">
        <f>Table2[[#This Row],[Quantity]]*Table2[[#This Row],[Price]]</f>
        <v>2202.19</v>
      </c>
    </row>
    <row r="154" spans="2:12" x14ac:dyDescent="0.25">
      <c r="B154" s="48">
        <v>10603</v>
      </c>
      <c r="C154" s="62">
        <v>44902</v>
      </c>
      <c r="D154" s="47" t="s">
        <v>12</v>
      </c>
      <c r="E154" s="48">
        <v>2.95</v>
      </c>
      <c r="F154" s="48" t="s">
        <v>10</v>
      </c>
      <c r="G154" s="48" t="s">
        <v>23</v>
      </c>
      <c r="H154" s="48" t="s">
        <v>24</v>
      </c>
      <c r="I154" s="48">
        <v>678</v>
      </c>
      <c r="J154" s="48" t="e" vm="1">
        <v>#VALUE!</v>
      </c>
      <c r="K154" s="48" t="e" cm="1" vm="2">
        <f t="array" aca="1" ref="K154" ca="1">_FV(Table2[[#This Row],[City]],"Country/region",TRUE)</f>
        <v>#VALUE!</v>
      </c>
      <c r="L154" s="48">
        <f>Table2[[#This Row],[Quantity]]*Table2[[#This Row],[Price]]</f>
        <v>2000.1000000000001</v>
      </c>
    </row>
    <row r="155" spans="2:12" x14ac:dyDescent="0.25">
      <c r="B155" s="48">
        <v>10604</v>
      </c>
      <c r="C155" s="62">
        <v>44902</v>
      </c>
      <c r="D155" s="47" t="s">
        <v>13</v>
      </c>
      <c r="E155" s="48">
        <v>4.99</v>
      </c>
      <c r="F155" s="48" t="s">
        <v>10</v>
      </c>
      <c r="G155" s="48" t="s">
        <v>23</v>
      </c>
      <c r="H155" s="48" t="s">
        <v>24</v>
      </c>
      <c r="I155" s="48">
        <v>201</v>
      </c>
      <c r="J155" s="48" t="e" vm="1">
        <v>#VALUE!</v>
      </c>
      <c r="K155" s="48" t="e" cm="1" vm="2">
        <f t="array" aca="1" ref="K155" ca="1">_FV(Table2[[#This Row],[City]],"Country/region",TRUE)</f>
        <v>#VALUE!</v>
      </c>
      <c r="L155" s="48">
        <f>Table2[[#This Row],[Quantity]]*Table2[[#This Row],[Price]]</f>
        <v>1002.99</v>
      </c>
    </row>
    <row r="156" spans="2:12" x14ac:dyDescent="0.25">
      <c r="B156" s="48">
        <v>10605</v>
      </c>
      <c r="C156" s="62">
        <v>44903</v>
      </c>
      <c r="D156" s="47" t="s">
        <v>15</v>
      </c>
      <c r="E156" s="48">
        <v>12.99</v>
      </c>
      <c r="F156" s="48" t="s">
        <v>10</v>
      </c>
      <c r="G156" s="48" t="s">
        <v>23</v>
      </c>
      <c r="H156" s="48" t="s">
        <v>24</v>
      </c>
      <c r="I156" s="48">
        <v>539</v>
      </c>
      <c r="J156" s="48" t="e" vm="1">
        <v>#VALUE!</v>
      </c>
      <c r="K156" s="48" t="e" cm="1" vm="2">
        <f t="array" aca="1" ref="K156" ca="1">_FV(Table2[[#This Row],[City]],"Country/region",TRUE)</f>
        <v>#VALUE!</v>
      </c>
      <c r="L156" s="48">
        <f>Table2[[#This Row],[Quantity]]*Table2[[#This Row],[Price]]</f>
        <v>7001.61</v>
      </c>
    </row>
    <row r="157" spans="2:12" x14ac:dyDescent="0.25">
      <c r="B157" s="48">
        <v>10606</v>
      </c>
      <c r="C157" s="62">
        <v>44903</v>
      </c>
      <c r="D157" s="47" t="s">
        <v>18</v>
      </c>
      <c r="E157" s="48">
        <v>9.9499999999999993</v>
      </c>
      <c r="F157" s="48" t="s">
        <v>10</v>
      </c>
      <c r="G157" s="48" t="s">
        <v>23</v>
      </c>
      <c r="H157" s="48" t="s">
        <v>24</v>
      </c>
      <c r="I157" s="48">
        <v>202</v>
      </c>
      <c r="J157" s="48" t="e" vm="1">
        <v>#VALUE!</v>
      </c>
      <c r="K157" s="48" t="e" cm="1" vm="2">
        <f t="array" aca="1" ref="K157" ca="1">_FV(Table2[[#This Row],[City]],"Country/region",TRUE)</f>
        <v>#VALUE!</v>
      </c>
      <c r="L157" s="48">
        <f>Table2[[#This Row],[Quantity]]*Table2[[#This Row],[Price]]</f>
        <v>2009.8999999999999</v>
      </c>
    </row>
    <row r="158" spans="2:12" x14ac:dyDescent="0.25">
      <c r="B158" s="48">
        <v>10607</v>
      </c>
      <c r="C158" s="62">
        <v>44903</v>
      </c>
      <c r="D158" s="47" t="s">
        <v>9</v>
      </c>
      <c r="E158" s="48">
        <v>3.49</v>
      </c>
      <c r="F158" s="48" t="s">
        <v>10</v>
      </c>
      <c r="G158" s="48" t="s">
        <v>23</v>
      </c>
      <c r="H158" s="48" t="s">
        <v>24</v>
      </c>
      <c r="I158" s="48">
        <v>631</v>
      </c>
      <c r="J158" s="48" t="e" vm="1">
        <v>#VALUE!</v>
      </c>
      <c r="K158" s="48" t="e" cm="1" vm="2">
        <f t="array" aca="1" ref="K158" ca="1">_FV(Table2[[#This Row],[City]],"Country/region",TRUE)</f>
        <v>#VALUE!</v>
      </c>
      <c r="L158" s="48">
        <f>Table2[[#This Row],[Quantity]]*Table2[[#This Row],[Price]]</f>
        <v>2202.19</v>
      </c>
    </row>
    <row r="159" spans="2:12" x14ac:dyDescent="0.25">
      <c r="B159" s="48">
        <v>10608</v>
      </c>
      <c r="C159" s="62">
        <v>44903</v>
      </c>
      <c r="D159" s="47" t="s">
        <v>12</v>
      </c>
      <c r="E159" s="48">
        <v>2.95</v>
      </c>
      <c r="F159" s="48" t="s">
        <v>10</v>
      </c>
      <c r="G159" s="48" t="s">
        <v>11</v>
      </c>
      <c r="H159" s="48" t="s">
        <v>24</v>
      </c>
      <c r="I159" s="48">
        <v>678</v>
      </c>
      <c r="J159" s="48" t="e" vm="1">
        <v>#VALUE!</v>
      </c>
      <c r="K159" s="48" t="e" cm="1" vm="2">
        <f t="array" aca="1" ref="K159" ca="1">_FV(Table2[[#This Row],[City]],"Country/region",TRUE)</f>
        <v>#VALUE!</v>
      </c>
      <c r="L159" s="48">
        <f>Table2[[#This Row],[Quantity]]*Table2[[#This Row],[Price]]</f>
        <v>2000.1000000000001</v>
      </c>
    </row>
    <row r="160" spans="2:12" x14ac:dyDescent="0.25">
      <c r="B160" s="48">
        <v>10609</v>
      </c>
      <c r="C160" s="62">
        <v>44903</v>
      </c>
      <c r="D160" s="47" t="s">
        <v>13</v>
      </c>
      <c r="E160" s="48">
        <v>4.99</v>
      </c>
      <c r="F160" s="48" t="s">
        <v>10</v>
      </c>
      <c r="G160" s="48" t="s">
        <v>11</v>
      </c>
      <c r="H160" s="48" t="s">
        <v>24</v>
      </c>
      <c r="I160" s="48">
        <v>201</v>
      </c>
      <c r="J160" s="48" t="e" vm="1">
        <v>#VALUE!</v>
      </c>
      <c r="K160" s="48" t="e" cm="1" vm="2">
        <f t="array" aca="1" ref="K160" ca="1">_FV(Table2[[#This Row],[City]],"Country/region",TRUE)</f>
        <v>#VALUE!</v>
      </c>
      <c r="L160" s="48">
        <f>Table2[[#This Row],[Quantity]]*Table2[[#This Row],[Price]]</f>
        <v>1002.99</v>
      </c>
    </row>
    <row r="161" spans="2:12" x14ac:dyDescent="0.25">
      <c r="B161" s="48">
        <v>10610</v>
      </c>
      <c r="C161" s="62">
        <v>44904</v>
      </c>
      <c r="D161" s="47" t="s">
        <v>15</v>
      </c>
      <c r="E161" s="48">
        <v>12.99</v>
      </c>
      <c r="F161" s="48" t="s">
        <v>10</v>
      </c>
      <c r="G161" s="48" t="s">
        <v>11</v>
      </c>
      <c r="H161" s="48" t="s">
        <v>24</v>
      </c>
      <c r="I161" s="48">
        <v>570</v>
      </c>
      <c r="J161" s="48" t="e" vm="1">
        <v>#VALUE!</v>
      </c>
      <c r="K161" s="48" t="e" cm="1" vm="2">
        <f t="array" aca="1" ref="K161" ca="1">_FV(Table2[[#This Row],[City]],"Country/region",TRUE)</f>
        <v>#VALUE!</v>
      </c>
      <c r="L161" s="48">
        <f>Table2[[#This Row],[Quantity]]*Table2[[#This Row],[Price]]</f>
        <v>7404.3</v>
      </c>
    </row>
    <row r="162" spans="2:12" x14ac:dyDescent="0.25">
      <c r="B162" s="48">
        <v>10611</v>
      </c>
      <c r="C162" s="62">
        <v>44904</v>
      </c>
      <c r="D162" s="47" t="s">
        <v>18</v>
      </c>
      <c r="E162" s="48">
        <v>9.9499999999999993</v>
      </c>
      <c r="F162" s="48" t="s">
        <v>10</v>
      </c>
      <c r="G162" s="48" t="s">
        <v>11</v>
      </c>
      <c r="H162" s="48" t="s">
        <v>24</v>
      </c>
      <c r="I162" s="48">
        <v>202</v>
      </c>
      <c r="J162" s="48" t="e" vm="1">
        <v>#VALUE!</v>
      </c>
      <c r="K162" s="48" t="e" cm="1" vm="2">
        <f t="array" aca="1" ref="K162" ca="1">_FV(Table2[[#This Row],[City]],"Country/region",TRUE)</f>
        <v>#VALUE!</v>
      </c>
      <c r="L162" s="48">
        <f>Table2[[#This Row],[Quantity]]*Table2[[#This Row],[Price]]</f>
        <v>2009.8999999999999</v>
      </c>
    </row>
    <row r="163" spans="2:12" x14ac:dyDescent="0.25">
      <c r="B163" s="48">
        <v>10612</v>
      </c>
      <c r="C163" s="62">
        <v>44904</v>
      </c>
      <c r="D163" s="47" t="s">
        <v>9</v>
      </c>
      <c r="E163" s="48">
        <v>3.49</v>
      </c>
      <c r="F163" s="48" t="s">
        <v>10</v>
      </c>
      <c r="G163" s="48" t="s">
        <v>11</v>
      </c>
      <c r="H163" s="48" t="s">
        <v>24</v>
      </c>
      <c r="I163" s="48">
        <v>631</v>
      </c>
      <c r="J163" s="48" t="e" vm="1">
        <v>#VALUE!</v>
      </c>
      <c r="K163" s="48" t="e" cm="1" vm="2">
        <f t="array" aca="1" ref="K163" ca="1">_FV(Table2[[#This Row],[City]],"Country/region",TRUE)</f>
        <v>#VALUE!</v>
      </c>
      <c r="L163" s="48">
        <f>Table2[[#This Row],[Quantity]]*Table2[[#This Row],[Price]]</f>
        <v>2202.19</v>
      </c>
    </row>
    <row r="164" spans="2:12" x14ac:dyDescent="0.25">
      <c r="B164" s="48">
        <v>10613</v>
      </c>
      <c r="C164" s="62">
        <v>44904</v>
      </c>
      <c r="D164" s="47" t="s">
        <v>12</v>
      </c>
      <c r="E164" s="48">
        <v>2.95</v>
      </c>
      <c r="F164" s="48" t="s">
        <v>10</v>
      </c>
      <c r="G164" s="48" t="s">
        <v>11</v>
      </c>
      <c r="H164" s="48" t="s">
        <v>24</v>
      </c>
      <c r="I164" s="48">
        <v>678</v>
      </c>
      <c r="J164" s="48" t="e" vm="1">
        <v>#VALUE!</v>
      </c>
      <c r="K164" s="48" t="e" cm="1" vm="2">
        <f t="array" aca="1" ref="K164" ca="1">_FV(Table2[[#This Row],[City]],"Country/region",TRUE)</f>
        <v>#VALUE!</v>
      </c>
      <c r="L164" s="48">
        <f>Table2[[#This Row],[Quantity]]*Table2[[#This Row],[Price]]</f>
        <v>2000.1000000000001</v>
      </c>
    </row>
    <row r="165" spans="2:12" x14ac:dyDescent="0.25">
      <c r="B165" s="48">
        <v>10614</v>
      </c>
      <c r="C165" s="62">
        <v>44904</v>
      </c>
      <c r="D165" s="47" t="s">
        <v>13</v>
      </c>
      <c r="E165" s="48">
        <v>4.99</v>
      </c>
      <c r="F165" s="48" t="s">
        <v>10</v>
      </c>
      <c r="G165" s="48" t="s">
        <v>11</v>
      </c>
      <c r="H165" s="48" t="s">
        <v>24</v>
      </c>
      <c r="I165" s="48">
        <v>201</v>
      </c>
      <c r="J165" s="48" t="e" vm="1">
        <v>#VALUE!</v>
      </c>
      <c r="K165" s="48" t="e" cm="1" vm="2">
        <f t="array" aca="1" ref="K165" ca="1">_FV(Table2[[#This Row],[City]],"Country/region",TRUE)</f>
        <v>#VALUE!</v>
      </c>
      <c r="L165" s="48">
        <f>Table2[[#This Row],[Quantity]]*Table2[[#This Row],[Price]]</f>
        <v>1002.99</v>
      </c>
    </row>
    <row r="166" spans="2:12" x14ac:dyDescent="0.25">
      <c r="B166" s="48">
        <v>10615</v>
      </c>
      <c r="C166" s="62">
        <v>44905</v>
      </c>
      <c r="D166" s="47" t="s">
        <v>15</v>
      </c>
      <c r="E166" s="48">
        <v>12.99</v>
      </c>
      <c r="F166" s="48" t="s">
        <v>10</v>
      </c>
      <c r="G166" s="48" t="s">
        <v>11</v>
      </c>
      <c r="H166" s="48" t="s">
        <v>24</v>
      </c>
      <c r="I166" s="48">
        <v>570</v>
      </c>
      <c r="J166" s="48" t="e" vm="1">
        <v>#VALUE!</v>
      </c>
      <c r="K166" s="48" t="e" cm="1" vm="2">
        <f t="array" aca="1" ref="K166" ca="1">_FV(Table2[[#This Row],[City]],"Country/region",TRUE)</f>
        <v>#VALUE!</v>
      </c>
      <c r="L166" s="48">
        <f>Table2[[#This Row],[Quantity]]*Table2[[#This Row],[Price]]</f>
        <v>7404.3</v>
      </c>
    </row>
    <row r="167" spans="2:12" x14ac:dyDescent="0.25">
      <c r="B167" s="48">
        <v>10616</v>
      </c>
      <c r="C167" s="62">
        <v>44905</v>
      </c>
      <c r="D167" s="47" t="s">
        <v>18</v>
      </c>
      <c r="E167" s="48">
        <v>9.9499999999999993</v>
      </c>
      <c r="F167" s="48" t="s">
        <v>10</v>
      </c>
      <c r="G167" s="48" t="s">
        <v>11</v>
      </c>
      <c r="H167" s="48" t="s">
        <v>24</v>
      </c>
      <c r="I167" s="48">
        <v>202</v>
      </c>
      <c r="J167" s="48" t="e" vm="1">
        <v>#VALUE!</v>
      </c>
      <c r="K167" s="48" t="e" cm="1" vm="2">
        <f t="array" aca="1" ref="K167" ca="1">_FV(Table2[[#This Row],[City]],"Country/region",TRUE)</f>
        <v>#VALUE!</v>
      </c>
      <c r="L167" s="48">
        <f>Table2[[#This Row],[Quantity]]*Table2[[#This Row],[Price]]</f>
        <v>2009.8999999999999</v>
      </c>
    </row>
    <row r="168" spans="2:12" x14ac:dyDescent="0.25">
      <c r="B168" s="48">
        <v>10617</v>
      </c>
      <c r="C168" s="62">
        <v>44905</v>
      </c>
      <c r="D168" s="47" t="s">
        <v>9</v>
      </c>
      <c r="E168" s="48">
        <v>3.49</v>
      </c>
      <c r="F168" s="48" t="s">
        <v>10</v>
      </c>
      <c r="G168" s="48" t="s">
        <v>11</v>
      </c>
      <c r="H168" s="48" t="s">
        <v>24</v>
      </c>
      <c r="I168" s="48">
        <v>631</v>
      </c>
      <c r="J168" s="48" t="e" vm="1">
        <v>#VALUE!</v>
      </c>
      <c r="K168" s="48" t="e" cm="1" vm="2">
        <f t="array" aca="1" ref="K168" ca="1">_FV(Table2[[#This Row],[City]],"Country/region",TRUE)</f>
        <v>#VALUE!</v>
      </c>
      <c r="L168" s="48">
        <f>Table2[[#This Row],[Quantity]]*Table2[[#This Row],[Price]]</f>
        <v>2202.19</v>
      </c>
    </row>
    <row r="169" spans="2:12" x14ac:dyDescent="0.25">
      <c r="B169" s="48">
        <v>10618</v>
      </c>
      <c r="C169" s="62">
        <v>44905</v>
      </c>
      <c r="D169" s="47" t="s">
        <v>12</v>
      </c>
      <c r="E169" s="48">
        <v>2.95</v>
      </c>
      <c r="F169" s="48" t="s">
        <v>10</v>
      </c>
      <c r="G169" s="48" t="s">
        <v>11</v>
      </c>
      <c r="H169" s="48" t="s">
        <v>24</v>
      </c>
      <c r="I169" s="48">
        <v>678</v>
      </c>
      <c r="J169" s="48" t="e" vm="1">
        <v>#VALUE!</v>
      </c>
      <c r="K169" s="48" t="e" cm="1" vm="2">
        <f t="array" aca="1" ref="K169" ca="1">_FV(Table2[[#This Row],[City]],"Country/region",TRUE)</f>
        <v>#VALUE!</v>
      </c>
      <c r="L169" s="48">
        <f>Table2[[#This Row],[Quantity]]*Table2[[#This Row],[Price]]</f>
        <v>2000.1000000000001</v>
      </c>
    </row>
    <row r="170" spans="2:12" x14ac:dyDescent="0.25">
      <c r="B170" s="48">
        <v>10619</v>
      </c>
      <c r="C170" s="62">
        <v>44905</v>
      </c>
      <c r="D170" s="47" t="s">
        <v>13</v>
      </c>
      <c r="E170" s="48">
        <v>4.99</v>
      </c>
      <c r="F170" s="48" t="s">
        <v>10</v>
      </c>
      <c r="G170" s="48" t="s">
        <v>11</v>
      </c>
      <c r="H170" s="48" t="s">
        <v>24</v>
      </c>
      <c r="I170" s="48">
        <v>201</v>
      </c>
      <c r="J170" s="48" t="e" vm="1">
        <v>#VALUE!</v>
      </c>
      <c r="K170" s="48" t="e" cm="1" vm="2">
        <f t="array" aca="1" ref="K170" ca="1">_FV(Table2[[#This Row],[City]],"Country/region",TRUE)</f>
        <v>#VALUE!</v>
      </c>
      <c r="L170" s="48">
        <f>Table2[[#This Row],[Quantity]]*Table2[[#This Row],[Price]]</f>
        <v>1002.99</v>
      </c>
    </row>
    <row r="171" spans="2:12" x14ac:dyDescent="0.25">
      <c r="B171" s="48">
        <v>10620</v>
      </c>
      <c r="C171" s="62">
        <v>44906</v>
      </c>
      <c r="D171" s="47" t="s">
        <v>15</v>
      </c>
      <c r="E171" s="48">
        <v>12.99</v>
      </c>
      <c r="F171" s="48" t="s">
        <v>10</v>
      </c>
      <c r="G171" s="48" t="s">
        <v>11</v>
      </c>
      <c r="H171" s="48" t="s">
        <v>24</v>
      </c>
      <c r="I171" s="48">
        <v>586</v>
      </c>
      <c r="J171" s="48" t="e" vm="1">
        <v>#VALUE!</v>
      </c>
      <c r="K171" s="48" t="e" cm="1" vm="2">
        <f t="array" aca="1" ref="K171" ca="1">_FV(Table2[[#This Row],[City]],"Country/region",TRUE)</f>
        <v>#VALUE!</v>
      </c>
      <c r="L171" s="48">
        <f>Table2[[#This Row],[Quantity]]*Table2[[#This Row],[Price]]</f>
        <v>7612.14</v>
      </c>
    </row>
    <row r="172" spans="2:12" x14ac:dyDescent="0.25">
      <c r="B172" s="48">
        <v>10621</v>
      </c>
      <c r="C172" s="62">
        <v>44906</v>
      </c>
      <c r="D172" s="47" t="s">
        <v>18</v>
      </c>
      <c r="E172" s="48">
        <v>9.9499999999999993</v>
      </c>
      <c r="F172" s="48" t="s">
        <v>10</v>
      </c>
      <c r="G172" s="48" t="s">
        <v>11</v>
      </c>
      <c r="H172" s="48" t="s">
        <v>24</v>
      </c>
      <c r="I172" s="48">
        <v>202</v>
      </c>
      <c r="J172" s="48" t="e" vm="1">
        <v>#VALUE!</v>
      </c>
      <c r="K172" s="48" t="e" cm="1" vm="2">
        <f t="array" aca="1" ref="K172" ca="1">_FV(Table2[[#This Row],[City]],"Country/region",TRUE)</f>
        <v>#VALUE!</v>
      </c>
      <c r="L172" s="48">
        <f>Table2[[#This Row],[Quantity]]*Table2[[#This Row],[Price]]</f>
        <v>2009.8999999999999</v>
      </c>
    </row>
    <row r="173" spans="2:12" x14ac:dyDescent="0.25">
      <c r="B173" s="48">
        <v>10622</v>
      </c>
      <c r="C173" s="62">
        <v>44906</v>
      </c>
      <c r="D173" s="47" t="s">
        <v>9</v>
      </c>
      <c r="E173" s="48">
        <v>3.49</v>
      </c>
      <c r="F173" s="48" t="s">
        <v>10</v>
      </c>
      <c r="G173" s="48" t="s">
        <v>11</v>
      </c>
      <c r="H173" s="48" t="s">
        <v>24</v>
      </c>
      <c r="I173" s="48">
        <v>631</v>
      </c>
      <c r="J173" s="48" t="e" vm="1">
        <v>#VALUE!</v>
      </c>
      <c r="K173" s="48" t="e" cm="1" vm="2">
        <f t="array" aca="1" ref="K173" ca="1">_FV(Table2[[#This Row],[City]],"Country/region",TRUE)</f>
        <v>#VALUE!</v>
      </c>
      <c r="L173" s="48">
        <f>Table2[[#This Row],[Quantity]]*Table2[[#This Row],[Price]]</f>
        <v>2202.19</v>
      </c>
    </row>
    <row r="174" spans="2:12" x14ac:dyDescent="0.25">
      <c r="B174" s="48">
        <v>10623</v>
      </c>
      <c r="C174" s="62">
        <v>44906</v>
      </c>
      <c r="D174" s="47" t="s">
        <v>12</v>
      </c>
      <c r="E174" s="48">
        <v>2.95</v>
      </c>
      <c r="F174" s="48" t="s">
        <v>10</v>
      </c>
      <c r="G174" s="48" t="s">
        <v>11</v>
      </c>
      <c r="H174" s="48" t="s">
        <v>24</v>
      </c>
      <c r="I174" s="48">
        <v>746</v>
      </c>
      <c r="J174" s="48" t="e" vm="1">
        <v>#VALUE!</v>
      </c>
      <c r="K174" s="48" t="e" cm="1" vm="2">
        <f t="array" aca="1" ref="K174" ca="1">_FV(Table2[[#This Row],[City]],"Country/region",TRUE)</f>
        <v>#VALUE!</v>
      </c>
      <c r="L174" s="48">
        <f>Table2[[#This Row],[Quantity]]*Table2[[#This Row],[Price]]</f>
        <v>2200.7000000000003</v>
      </c>
    </row>
    <row r="175" spans="2:12" x14ac:dyDescent="0.25">
      <c r="B175" s="48">
        <v>10624</v>
      </c>
      <c r="C175" s="62">
        <v>44906</v>
      </c>
      <c r="D175" s="47" t="s">
        <v>13</v>
      </c>
      <c r="E175" s="48">
        <v>4.99</v>
      </c>
      <c r="F175" s="48" t="s">
        <v>10</v>
      </c>
      <c r="G175" s="48" t="s">
        <v>11</v>
      </c>
      <c r="H175" s="48" t="s">
        <v>24</v>
      </c>
      <c r="I175" s="48">
        <v>201</v>
      </c>
      <c r="J175" s="48" t="e" vm="1">
        <v>#VALUE!</v>
      </c>
      <c r="K175" s="48" t="e" cm="1" vm="2">
        <f t="array" aca="1" ref="K175" ca="1">_FV(Table2[[#This Row],[City]],"Country/region",TRUE)</f>
        <v>#VALUE!</v>
      </c>
      <c r="L175" s="48">
        <f>Table2[[#This Row],[Quantity]]*Table2[[#This Row],[Price]]</f>
        <v>1002.99</v>
      </c>
    </row>
    <row r="176" spans="2:12" x14ac:dyDescent="0.25">
      <c r="B176" s="48">
        <v>10625</v>
      </c>
      <c r="C176" s="62">
        <v>44907</v>
      </c>
      <c r="D176" s="47" t="s">
        <v>15</v>
      </c>
      <c r="E176" s="48">
        <v>12.99</v>
      </c>
      <c r="F176" s="48" t="s">
        <v>10</v>
      </c>
      <c r="G176" s="48" t="s">
        <v>11</v>
      </c>
      <c r="H176" s="48" t="s">
        <v>24</v>
      </c>
      <c r="I176" s="48">
        <v>570</v>
      </c>
      <c r="J176" s="48" t="e" vm="1">
        <v>#VALUE!</v>
      </c>
      <c r="K176" s="48" t="e" cm="1" vm="2">
        <f t="array" aca="1" ref="K176" ca="1">_FV(Table2[[#This Row],[City]],"Country/region",TRUE)</f>
        <v>#VALUE!</v>
      </c>
      <c r="L176" s="48">
        <f>Table2[[#This Row],[Quantity]]*Table2[[#This Row],[Price]]</f>
        <v>7404.3</v>
      </c>
    </row>
    <row r="177" spans="2:12" x14ac:dyDescent="0.25">
      <c r="B177" s="48">
        <v>10626</v>
      </c>
      <c r="C177" s="62">
        <v>44907</v>
      </c>
      <c r="D177" s="47" t="s">
        <v>18</v>
      </c>
      <c r="E177" s="48">
        <v>9.9499999999999993</v>
      </c>
      <c r="F177" s="48" t="s">
        <v>10</v>
      </c>
      <c r="G177" s="48" t="s">
        <v>11</v>
      </c>
      <c r="H177" s="48" t="s">
        <v>24</v>
      </c>
      <c r="I177" s="48">
        <v>202</v>
      </c>
      <c r="J177" s="48" t="e" vm="1">
        <v>#VALUE!</v>
      </c>
      <c r="K177" s="48" t="e" cm="1" vm="2">
        <f t="array" aca="1" ref="K177" ca="1">_FV(Table2[[#This Row],[City]],"Country/region",TRUE)</f>
        <v>#VALUE!</v>
      </c>
      <c r="L177" s="48">
        <f>Table2[[#This Row],[Quantity]]*Table2[[#This Row],[Price]]</f>
        <v>2009.8999999999999</v>
      </c>
    </row>
    <row r="178" spans="2:12" x14ac:dyDescent="0.25">
      <c r="B178" s="48">
        <v>10627</v>
      </c>
      <c r="C178" s="62">
        <v>44907</v>
      </c>
      <c r="D178" s="47" t="s">
        <v>9</v>
      </c>
      <c r="E178" s="48">
        <v>3.49</v>
      </c>
      <c r="F178" s="48" t="s">
        <v>10</v>
      </c>
      <c r="G178" s="48" t="s">
        <v>11</v>
      </c>
      <c r="H178" s="48" t="s">
        <v>24</v>
      </c>
      <c r="I178" s="48">
        <v>631</v>
      </c>
      <c r="J178" s="48" t="e" vm="1">
        <v>#VALUE!</v>
      </c>
      <c r="K178" s="48" t="e" cm="1" vm="2">
        <f t="array" aca="1" ref="K178" ca="1">_FV(Table2[[#This Row],[City]],"Country/region",TRUE)</f>
        <v>#VALUE!</v>
      </c>
      <c r="L178" s="48">
        <f>Table2[[#This Row],[Quantity]]*Table2[[#This Row],[Price]]</f>
        <v>2202.19</v>
      </c>
    </row>
    <row r="179" spans="2:12" x14ac:dyDescent="0.25">
      <c r="B179" s="48">
        <v>10628</v>
      </c>
      <c r="C179" s="62">
        <v>44907</v>
      </c>
      <c r="D179" s="47" t="s">
        <v>12</v>
      </c>
      <c r="E179" s="48">
        <v>2.95</v>
      </c>
      <c r="F179" s="48" t="s">
        <v>10</v>
      </c>
      <c r="G179" s="48" t="s">
        <v>11</v>
      </c>
      <c r="H179" s="48" t="s">
        <v>21</v>
      </c>
      <c r="I179" s="48">
        <v>678</v>
      </c>
      <c r="J179" s="48" t="e" vm="5">
        <v>#VALUE!</v>
      </c>
      <c r="K179" s="48" t="e" cm="1" vm="6">
        <f t="array" aca="1" ref="K179" ca="1">_FV(Table2[[#This Row],[City]],"Country/region",TRUE)</f>
        <v>#VALUE!</v>
      </c>
      <c r="L179" s="48">
        <f>Table2[[#This Row],[Quantity]]*Table2[[#This Row],[Price]]</f>
        <v>2000.1000000000001</v>
      </c>
    </row>
    <row r="180" spans="2:12" x14ac:dyDescent="0.25">
      <c r="B180" s="48">
        <v>10629</v>
      </c>
      <c r="C180" s="62">
        <v>44907</v>
      </c>
      <c r="D180" s="47" t="s">
        <v>13</v>
      </c>
      <c r="E180" s="48">
        <v>4.99</v>
      </c>
      <c r="F180" s="48" t="s">
        <v>10</v>
      </c>
      <c r="G180" s="48" t="s">
        <v>11</v>
      </c>
      <c r="H180" s="48" t="s">
        <v>21</v>
      </c>
      <c r="I180" s="48">
        <v>201</v>
      </c>
      <c r="J180" s="48" t="e" vm="5">
        <v>#VALUE!</v>
      </c>
      <c r="K180" s="48" t="e" cm="1" vm="6">
        <f t="array" aca="1" ref="K180" ca="1">_FV(Table2[[#This Row],[City]],"Country/region",TRUE)</f>
        <v>#VALUE!</v>
      </c>
      <c r="L180" s="48">
        <f>Table2[[#This Row],[Quantity]]*Table2[[#This Row],[Price]]</f>
        <v>1002.99</v>
      </c>
    </row>
    <row r="181" spans="2:12" x14ac:dyDescent="0.25">
      <c r="B181" s="48">
        <v>10630</v>
      </c>
      <c r="C181" s="62">
        <v>44908</v>
      </c>
      <c r="D181" s="47" t="s">
        <v>15</v>
      </c>
      <c r="E181" s="48">
        <v>12.99</v>
      </c>
      <c r="F181" s="48" t="s">
        <v>10</v>
      </c>
      <c r="G181" s="48" t="s">
        <v>23</v>
      </c>
      <c r="H181" s="48" t="s">
        <v>21</v>
      </c>
      <c r="I181" s="48">
        <v>570</v>
      </c>
      <c r="J181" s="48" t="e" vm="5">
        <v>#VALUE!</v>
      </c>
      <c r="K181" s="48" t="e" cm="1" vm="6">
        <f t="array" aca="1" ref="K181" ca="1">_FV(Table2[[#This Row],[City]],"Country/region",TRUE)</f>
        <v>#VALUE!</v>
      </c>
      <c r="L181" s="48">
        <f>Table2[[#This Row],[Quantity]]*Table2[[#This Row],[Price]]</f>
        <v>7404.3</v>
      </c>
    </row>
    <row r="182" spans="2:12" x14ac:dyDescent="0.25">
      <c r="B182" s="48">
        <v>10631</v>
      </c>
      <c r="C182" s="62">
        <v>44908</v>
      </c>
      <c r="D182" s="47" t="s">
        <v>18</v>
      </c>
      <c r="E182" s="48">
        <v>9.9499999999999993</v>
      </c>
      <c r="F182" s="48" t="s">
        <v>10</v>
      </c>
      <c r="G182" s="48" t="s">
        <v>11</v>
      </c>
      <c r="H182" s="48" t="s">
        <v>21</v>
      </c>
      <c r="I182" s="48">
        <v>202</v>
      </c>
      <c r="J182" s="48" t="e" vm="5">
        <v>#VALUE!</v>
      </c>
      <c r="K182" s="48" t="e" cm="1" vm="6">
        <f t="array" aca="1" ref="K182" ca="1">_FV(Table2[[#This Row],[City]],"Country/region",TRUE)</f>
        <v>#VALUE!</v>
      </c>
      <c r="L182" s="48">
        <f>Table2[[#This Row],[Quantity]]*Table2[[#This Row],[Price]]</f>
        <v>2009.8999999999999</v>
      </c>
    </row>
    <row r="183" spans="2:12" x14ac:dyDescent="0.25">
      <c r="B183" s="48">
        <v>10632</v>
      </c>
      <c r="C183" s="62">
        <v>44908</v>
      </c>
      <c r="D183" s="47" t="s">
        <v>9</v>
      </c>
      <c r="E183" s="48">
        <v>3.49</v>
      </c>
      <c r="F183" s="48" t="s">
        <v>10</v>
      </c>
      <c r="G183" s="48" t="s">
        <v>11</v>
      </c>
      <c r="H183" s="48" t="s">
        <v>21</v>
      </c>
      <c r="I183" s="48">
        <v>631</v>
      </c>
      <c r="J183" s="48" t="e" vm="5">
        <v>#VALUE!</v>
      </c>
      <c r="K183" s="48" t="e" cm="1" vm="6">
        <f t="array" aca="1" ref="K183" ca="1">_FV(Table2[[#This Row],[City]],"Country/region",TRUE)</f>
        <v>#VALUE!</v>
      </c>
      <c r="L183" s="48">
        <f>Table2[[#This Row],[Quantity]]*Table2[[#This Row],[Price]]</f>
        <v>2202.19</v>
      </c>
    </row>
    <row r="184" spans="2:12" x14ac:dyDescent="0.25">
      <c r="B184" s="48">
        <v>10633</v>
      </c>
      <c r="C184" s="62">
        <v>44908</v>
      </c>
      <c r="D184" s="47" t="s">
        <v>12</v>
      </c>
      <c r="E184" s="48">
        <v>2.95</v>
      </c>
      <c r="F184" s="48" t="s">
        <v>10</v>
      </c>
      <c r="G184" s="48" t="s">
        <v>11</v>
      </c>
      <c r="H184" s="48" t="s">
        <v>21</v>
      </c>
      <c r="I184" s="48">
        <v>678</v>
      </c>
      <c r="J184" s="48" t="e" vm="5">
        <v>#VALUE!</v>
      </c>
      <c r="K184" s="48" t="e" cm="1" vm="6">
        <f t="array" aca="1" ref="K184" ca="1">_FV(Table2[[#This Row],[City]],"Country/region",TRUE)</f>
        <v>#VALUE!</v>
      </c>
      <c r="L184" s="48">
        <f>Table2[[#This Row],[Quantity]]*Table2[[#This Row],[Price]]</f>
        <v>2000.1000000000001</v>
      </c>
    </row>
    <row r="185" spans="2:12" x14ac:dyDescent="0.25">
      <c r="B185" s="48">
        <v>10634</v>
      </c>
      <c r="C185" s="62">
        <v>44908</v>
      </c>
      <c r="D185" s="47" t="s">
        <v>13</v>
      </c>
      <c r="E185" s="48">
        <v>4.99</v>
      </c>
      <c r="F185" s="48" t="s">
        <v>10</v>
      </c>
      <c r="G185" s="48" t="s">
        <v>11</v>
      </c>
      <c r="H185" s="48" t="s">
        <v>21</v>
      </c>
      <c r="I185" s="48">
        <v>201</v>
      </c>
      <c r="J185" s="48" t="e" vm="5">
        <v>#VALUE!</v>
      </c>
      <c r="K185" s="48" t="e" cm="1" vm="6">
        <f t="array" aca="1" ref="K185" ca="1">_FV(Table2[[#This Row],[City]],"Country/region",TRUE)</f>
        <v>#VALUE!</v>
      </c>
      <c r="L185" s="48">
        <f>Table2[[#This Row],[Quantity]]*Table2[[#This Row],[Price]]</f>
        <v>1002.99</v>
      </c>
    </row>
    <row r="186" spans="2:12" x14ac:dyDescent="0.25">
      <c r="B186" s="48">
        <v>10635</v>
      </c>
      <c r="C186" s="62">
        <v>44909</v>
      </c>
      <c r="D186" s="47" t="s">
        <v>15</v>
      </c>
      <c r="E186" s="48">
        <v>12.99</v>
      </c>
      <c r="F186" s="48" t="s">
        <v>10</v>
      </c>
      <c r="G186" s="48" t="s">
        <v>11</v>
      </c>
      <c r="H186" s="48" t="s">
        <v>21</v>
      </c>
      <c r="I186" s="48">
        <v>555</v>
      </c>
      <c r="J186" s="48" t="e" vm="5">
        <v>#VALUE!</v>
      </c>
      <c r="K186" s="48" t="e" cm="1" vm="6">
        <f t="array" aca="1" ref="K186" ca="1">_FV(Table2[[#This Row],[City]],"Country/region",TRUE)</f>
        <v>#VALUE!</v>
      </c>
      <c r="L186" s="48">
        <f>Table2[[#This Row],[Quantity]]*Table2[[#This Row],[Price]]</f>
        <v>7209.45</v>
      </c>
    </row>
    <row r="187" spans="2:12" x14ac:dyDescent="0.25">
      <c r="B187" s="48">
        <v>10636</v>
      </c>
      <c r="C187" s="62">
        <v>44909</v>
      </c>
      <c r="D187" s="47" t="s">
        <v>18</v>
      </c>
      <c r="E187" s="48">
        <v>9.9499999999999993</v>
      </c>
      <c r="F187" s="48" t="s">
        <v>10</v>
      </c>
      <c r="G187" s="48" t="s">
        <v>11</v>
      </c>
      <c r="H187" s="48" t="s">
        <v>21</v>
      </c>
      <c r="I187" s="48">
        <v>222</v>
      </c>
      <c r="J187" s="48" t="e" vm="5">
        <v>#VALUE!</v>
      </c>
      <c r="K187" s="48" t="e" cm="1" vm="6">
        <f t="array" aca="1" ref="K187" ca="1">_FV(Table2[[#This Row],[City]],"Country/region",TRUE)</f>
        <v>#VALUE!</v>
      </c>
      <c r="L187" s="48">
        <f>Table2[[#This Row],[Quantity]]*Table2[[#This Row],[Price]]</f>
        <v>2208.8999999999996</v>
      </c>
    </row>
    <row r="188" spans="2:12" x14ac:dyDescent="0.25">
      <c r="B188" s="48">
        <v>10637</v>
      </c>
      <c r="C188" s="62">
        <v>44909</v>
      </c>
      <c r="D188" s="47" t="s">
        <v>9</v>
      </c>
      <c r="E188" s="48">
        <v>3.49</v>
      </c>
      <c r="F188" s="48" t="s">
        <v>10</v>
      </c>
      <c r="G188" s="48" t="s">
        <v>11</v>
      </c>
      <c r="H188" s="48" t="s">
        <v>21</v>
      </c>
      <c r="I188" s="48">
        <v>631</v>
      </c>
      <c r="J188" s="48" t="e" vm="5">
        <v>#VALUE!</v>
      </c>
      <c r="K188" s="48" t="e" cm="1" vm="6">
        <f t="array" aca="1" ref="K188" ca="1">_FV(Table2[[#This Row],[City]],"Country/region",TRUE)</f>
        <v>#VALUE!</v>
      </c>
      <c r="L188" s="48">
        <f>Table2[[#This Row],[Quantity]]*Table2[[#This Row],[Price]]</f>
        <v>2202.19</v>
      </c>
    </row>
    <row r="189" spans="2:12" x14ac:dyDescent="0.25">
      <c r="B189" s="48">
        <v>10638</v>
      </c>
      <c r="C189" s="62">
        <v>44909</v>
      </c>
      <c r="D189" s="47" t="s">
        <v>12</v>
      </c>
      <c r="E189" s="48">
        <v>2.95</v>
      </c>
      <c r="F189" s="48" t="s">
        <v>10</v>
      </c>
      <c r="G189" s="48" t="s">
        <v>11</v>
      </c>
      <c r="H189" s="48" t="s">
        <v>21</v>
      </c>
      <c r="I189" s="48">
        <v>678</v>
      </c>
      <c r="J189" s="48" t="e" vm="5">
        <v>#VALUE!</v>
      </c>
      <c r="K189" s="48" t="e" cm="1" vm="6">
        <f t="array" aca="1" ref="K189" ca="1">_FV(Table2[[#This Row],[City]],"Country/region",TRUE)</f>
        <v>#VALUE!</v>
      </c>
      <c r="L189" s="48">
        <f>Table2[[#This Row],[Quantity]]*Table2[[#This Row],[Price]]</f>
        <v>2000.1000000000001</v>
      </c>
    </row>
    <row r="190" spans="2:12" x14ac:dyDescent="0.25">
      <c r="B190" s="48">
        <v>10639</v>
      </c>
      <c r="C190" s="62">
        <v>44909</v>
      </c>
      <c r="D190" s="47" t="s">
        <v>13</v>
      </c>
      <c r="E190" s="48">
        <v>4.99</v>
      </c>
      <c r="F190" s="48" t="s">
        <v>10</v>
      </c>
      <c r="G190" s="48" t="s">
        <v>11</v>
      </c>
      <c r="H190" s="48" t="s">
        <v>21</v>
      </c>
      <c r="I190" s="48">
        <v>201</v>
      </c>
      <c r="J190" s="48" t="e" vm="5">
        <v>#VALUE!</v>
      </c>
      <c r="K190" s="48" t="e" cm="1" vm="6">
        <f t="array" aca="1" ref="K190" ca="1">_FV(Table2[[#This Row],[City]],"Country/region",TRUE)</f>
        <v>#VALUE!</v>
      </c>
      <c r="L190" s="48">
        <f>Table2[[#This Row],[Quantity]]*Table2[[#This Row],[Price]]</f>
        <v>1002.99</v>
      </c>
    </row>
    <row r="191" spans="2:12" x14ac:dyDescent="0.25">
      <c r="B191" s="48">
        <v>10640</v>
      </c>
      <c r="C191" s="62">
        <v>44910</v>
      </c>
      <c r="D191" s="47" t="s">
        <v>15</v>
      </c>
      <c r="E191" s="48">
        <v>12.99</v>
      </c>
      <c r="F191" s="48" t="s">
        <v>10</v>
      </c>
      <c r="G191" s="48" t="s">
        <v>11</v>
      </c>
      <c r="H191" s="48" t="s">
        <v>21</v>
      </c>
      <c r="I191" s="48">
        <v>539</v>
      </c>
      <c r="J191" s="48" t="e" vm="5">
        <v>#VALUE!</v>
      </c>
      <c r="K191" s="48" t="e" cm="1" vm="6">
        <f t="array" aca="1" ref="K191" ca="1">_FV(Table2[[#This Row],[City]],"Country/region",TRUE)</f>
        <v>#VALUE!</v>
      </c>
      <c r="L191" s="48">
        <f>Table2[[#This Row],[Quantity]]*Table2[[#This Row],[Price]]</f>
        <v>7001.61</v>
      </c>
    </row>
    <row r="192" spans="2:12" x14ac:dyDescent="0.25">
      <c r="B192" s="48">
        <v>10641</v>
      </c>
      <c r="C192" s="62">
        <v>44910</v>
      </c>
      <c r="D192" s="47" t="s">
        <v>18</v>
      </c>
      <c r="E192" s="48">
        <v>9.9499999999999993</v>
      </c>
      <c r="F192" s="48" t="s">
        <v>10</v>
      </c>
      <c r="G192" s="48" t="s">
        <v>11</v>
      </c>
      <c r="H192" s="48" t="s">
        <v>21</v>
      </c>
      <c r="I192" s="48">
        <v>222</v>
      </c>
      <c r="J192" s="48" t="e" vm="5">
        <v>#VALUE!</v>
      </c>
      <c r="K192" s="48" t="e" cm="1" vm="6">
        <f t="array" aca="1" ref="K192" ca="1">_FV(Table2[[#This Row],[City]],"Country/region",TRUE)</f>
        <v>#VALUE!</v>
      </c>
      <c r="L192" s="48">
        <f>Table2[[#This Row],[Quantity]]*Table2[[#This Row],[Price]]</f>
        <v>2208.8999999999996</v>
      </c>
    </row>
    <row r="193" spans="2:12" x14ac:dyDescent="0.25">
      <c r="B193" s="48">
        <v>10642</v>
      </c>
      <c r="C193" s="62">
        <v>44910</v>
      </c>
      <c r="D193" s="47" t="s">
        <v>9</v>
      </c>
      <c r="E193" s="48">
        <v>3.49</v>
      </c>
      <c r="F193" s="48" t="s">
        <v>10</v>
      </c>
      <c r="G193" s="48" t="s">
        <v>23</v>
      </c>
      <c r="H193" s="48" t="s">
        <v>21</v>
      </c>
      <c r="I193" s="48">
        <v>631</v>
      </c>
      <c r="J193" s="48" t="e" vm="5">
        <v>#VALUE!</v>
      </c>
      <c r="K193" s="48" t="e" cm="1" vm="6">
        <f t="array" aca="1" ref="K193" ca="1">_FV(Table2[[#This Row],[City]],"Country/region",TRUE)</f>
        <v>#VALUE!</v>
      </c>
      <c r="L193" s="48">
        <f>Table2[[#This Row],[Quantity]]*Table2[[#This Row],[Price]]</f>
        <v>2202.19</v>
      </c>
    </row>
    <row r="194" spans="2:12" x14ac:dyDescent="0.25">
      <c r="B194" s="48">
        <v>10643</v>
      </c>
      <c r="C194" s="62">
        <v>44910</v>
      </c>
      <c r="D194" s="47" t="s">
        <v>12</v>
      </c>
      <c r="E194" s="48">
        <v>2.95</v>
      </c>
      <c r="F194" s="48" t="s">
        <v>10</v>
      </c>
      <c r="G194" s="48" t="s">
        <v>23</v>
      </c>
      <c r="H194" s="48" t="s">
        <v>21</v>
      </c>
      <c r="I194" s="48">
        <v>678</v>
      </c>
      <c r="J194" s="48" t="e" vm="5">
        <v>#VALUE!</v>
      </c>
      <c r="K194" s="48" t="e" cm="1" vm="6">
        <f t="array" aca="1" ref="K194" ca="1">_FV(Table2[[#This Row],[City]],"Country/region",TRUE)</f>
        <v>#VALUE!</v>
      </c>
      <c r="L194" s="48">
        <f>Table2[[#This Row],[Quantity]]*Table2[[#This Row],[Price]]</f>
        <v>2000.1000000000001</v>
      </c>
    </row>
    <row r="195" spans="2:12" x14ac:dyDescent="0.25">
      <c r="B195" s="48">
        <v>10644</v>
      </c>
      <c r="C195" s="62">
        <v>44910</v>
      </c>
      <c r="D195" s="47" t="s">
        <v>13</v>
      </c>
      <c r="E195" s="48">
        <v>4.99</v>
      </c>
      <c r="F195" s="48" t="s">
        <v>10</v>
      </c>
      <c r="G195" s="48" t="s">
        <v>23</v>
      </c>
      <c r="H195" s="48" t="s">
        <v>21</v>
      </c>
      <c r="I195" s="48">
        <v>201</v>
      </c>
      <c r="J195" s="48" t="e" vm="5">
        <v>#VALUE!</v>
      </c>
      <c r="K195" s="48" t="e" cm="1" vm="6">
        <f t="array" aca="1" ref="K195" ca="1">_FV(Table2[[#This Row],[City]],"Country/region",TRUE)</f>
        <v>#VALUE!</v>
      </c>
      <c r="L195" s="48">
        <f>Table2[[#This Row],[Quantity]]*Table2[[#This Row],[Price]]</f>
        <v>1002.99</v>
      </c>
    </row>
    <row r="196" spans="2:12" x14ac:dyDescent="0.25">
      <c r="B196" s="48">
        <v>10645</v>
      </c>
      <c r="C196" s="62">
        <v>44911</v>
      </c>
      <c r="D196" s="47" t="s">
        <v>15</v>
      </c>
      <c r="E196" s="48">
        <v>12.99</v>
      </c>
      <c r="F196" s="48" t="s">
        <v>10</v>
      </c>
      <c r="G196" s="48" t="s">
        <v>23</v>
      </c>
      <c r="H196" s="48" t="s">
        <v>21</v>
      </c>
      <c r="I196" s="48">
        <v>570</v>
      </c>
      <c r="J196" s="48" t="e" vm="5">
        <v>#VALUE!</v>
      </c>
      <c r="K196" s="48" t="e" cm="1" vm="6">
        <f t="array" aca="1" ref="K196" ca="1">_FV(Table2[[#This Row],[City]],"Country/region",TRUE)</f>
        <v>#VALUE!</v>
      </c>
      <c r="L196" s="48">
        <f>Table2[[#This Row],[Quantity]]*Table2[[#This Row],[Price]]</f>
        <v>7404.3</v>
      </c>
    </row>
    <row r="197" spans="2:12" x14ac:dyDescent="0.25">
      <c r="B197" s="48">
        <v>10646</v>
      </c>
      <c r="C197" s="62">
        <v>44911</v>
      </c>
      <c r="D197" s="47" t="s">
        <v>18</v>
      </c>
      <c r="E197" s="48">
        <v>9.9499999999999993</v>
      </c>
      <c r="F197" s="48" t="s">
        <v>10</v>
      </c>
      <c r="G197" s="48" t="s">
        <v>23</v>
      </c>
      <c r="H197" s="48" t="s">
        <v>21</v>
      </c>
      <c r="I197" s="48">
        <v>222</v>
      </c>
      <c r="J197" s="48" t="e" vm="5">
        <v>#VALUE!</v>
      </c>
      <c r="K197" s="48" t="e" cm="1" vm="6">
        <f t="array" aca="1" ref="K197" ca="1">_FV(Table2[[#This Row],[City]],"Country/region",TRUE)</f>
        <v>#VALUE!</v>
      </c>
      <c r="L197" s="48">
        <f>Table2[[#This Row],[Quantity]]*Table2[[#This Row],[Price]]</f>
        <v>2208.8999999999996</v>
      </c>
    </row>
    <row r="198" spans="2:12" x14ac:dyDescent="0.25">
      <c r="B198" s="48">
        <v>10647</v>
      </c>
      <c r="C198" s="62">
        <v>44911</v>
      </c>
      <c r="D198" s="47" t="s">
        <v>9</v>
      </c>
      <c r="E198" s="48">
        <v>3.49</v>
      </c>
      <c r="F198" s="48" t="s">
        <v>10</v>
      </c>
      <c r="G198" s="48" t="s">
        <v>11</v>
      </c>
      <c r="H198" s="48" t="s">
        <v>21</v>
      </c>
      <c r="I198" s="48">
        <v>631</v>
      </c>
      <c r="J198" s="48" t="e" vm="5">
        <v>#VALUE!</v>
      </c>
      <c r="K198" s="48" t="e" cm="1" vm="6">
        <f t="array" aca="1" ref="K198" ca="1">_FV(Table2[[#This Row],[City]],"Country/region",TRUE)</f>
        <v>#VALUE!</v>
      </c>
      <c r="L198" s="48">
        <f>Table2[[#This Row],[Quantity]]*Table2[[#This Row],[Price]]</f>
        <v>2202.19</v>
      </c>
    </row>
    <row r="199" spans="2:12" x14ac:dyDescent="0.25">
      <c r="B199" s="48">
        <v>10648</v>
      </c>
      <c r="C199" s="62">
        <v>44911</v>
      </c>
      <c r="D199" s="47" t="s">
        <v>12</v>
      </c>
      <c r="E199" s="48">
        <v>2.95</v>
      </c>
      <c r="F199" s="48" t="s">
        <v>10</v>
      </c>
      <c r="G199" s="48" t="s">
        <v>11</v>
      </c>
      <c r="H199" s="48" t="s">
        <v>21</v>
      </c>
      <c r="I199" s="48">
        <v>746</v>
      </c>
      <c r="J199" s="48" t="e" vm="5">
        <v>#VALUE!</v>
      </c>
      <c r="K199" s="48" t="e" cm="1" vm="6">
        <f t="array" aca="1" ref="K199" ca="1">_FV(Table2[[#This Row],[City]],"Country/region",TRUE)</f>
        <v>#VALUE!</v>
      </c>
      <c r="L199" s="48">
        <f>Table2[[#This Row],[Quantity]]*Table2[[#This Row],[Price]]</f>
        <v>2200.7000000000003</v>
      </c>
    </row>
    <row r="200" spans="2:12" x14ac:dyDescent="0.25">
      <c r="B200" s="48">
        <v>10649</v>
      </c>
      <c r="C200" s="62">
        <v>44911</v>
      </c>
      <c r="D200" s="47" t="s">
        <v>13</v>
      </c>
      <c r="E200" s="48">
        <v>4.99</v>
      </c>
      <c r="F200" s="48" t="s">
        <v>10</v>
      </c>
      <c r="G200" s="48" t="s">
        <v>11</v>
      </c>
      <c r="H200" s="48" t="s">
        <v>21</v>
      </c>
      <c r="I200" s="48">
        <v>201</v>
      </c>
      <c r="J200" s="48" t="e" vm="5">
        <v>#VALUE!</v>
      </c>
      <c r="K200" s="48" t="e" cm="1" vm="6">
        <f t="array" aca="1" ref="K200" ca="1">_FV(Table2[[#This Row],[City]],"Country/region",TRUE)</f>
        <v>#VALUE!</v>
      </c>
      <c r="L200" s="48">
        <f>Table2[[#This Row],[Quantity]]*Table2[[#This Row],[Price]]</f>
        <v>1002.99</v>
      </c>
    </row>
    <row r="201" spans="2:12" x14ac:dyDescent="0.25">
      <c r="B201" s="48">
        <v>10650</v>
      </c>
      <c r="C201" s="62">
        <v>44912</v>
      </c>
      <c r="D201" s="47" t="s">
        <v>15</v>
      </c>
      <c r="E201" s="48">
        <v>12.99</v>
      </c>
      <c r="F201" s="48" t="s">
        <v>10</v>
      </c>
      <c r="G201" s="48" t="s">
        <v>11</v>
      </c>
      <c r="H201" s="48" t="s">
        <v>21</v>
      </c>
      <c r="I201" s="48">
        <v>586</v>
      </c>
      <c r="J201" s="48" t="e" vm="5">
        <v>#VALUE!</v>
      </c>
      <c r="K201" s="48" t="e" cm="1" vm="6">
        <f t="array" aca="1" ref="K201" ca="1">_FV(Table2[[#This Row],[City]],"Country/region",TRUE)</f>
        <v>#VALUE!</v>
      </c>
      <c r="L201" s="48">
        <f>Table2[[#This Row],[Quantity]]*Table2[[#This Row],[Price]]</f>
        <v>7612.14</v>
      </c>
    </row>
    <row r="202" spans="2:12" x14ac:dyDescent="0.25">
      <c r="B202" s="48">
        <v>10651</v>
      </c>
      <c r="C202" s="62">
        <v>44912</v>
      </c>
      <c r="D202" s="47" t="s">
        <v>18</v>
      </c>
      <c r="E202" s="48">
        <v>9.9499999999999993</v>
      </c>
      <c r="F202" s="48" t="s">
        <v>10</v>
      </c>
      <c r="G202" s="48" t="s">
        <v>11</v>
      </c>
      <c r="H202" s="48" t="s">
        <v>21</v>
      </c>
      <c r="I202" s="48">
        <v>222</v>
      </c>
      <c r="J202" s="48" t="e" vm="5">
        <v>#VALUE!</v>
      </c>
      <c r="K202" s="48" t="e" cm="1" vm="6">
        <f t="array" aca="1" ref="K202" ca="1">_FV(Table2[[#This Row],[City]],"Country/region",TRUE)</f>
        <v>#VALUE!</v>
      </c>
      <c r="L202" s="48">
        <f>Table2[[#This Row],[Quantity]]*Table2[[#This Row],[Price]]</f>
        <v>2208.8999999999996</v>
      </c>
    </row>
    <row r="203" spans="2:12" x14ac:dyDescent="0.25">
      <c r="B203" s="48">
        <v>10652</v>
      </c>
      <c r="C203" s="62">
        <v>44912</v>
      </c>
      <c r="D203" s="47" t="s">
        <v>9</v>
      </c>
      <c r="E203" s="48">
        <v>3.49</v>
      </c>
      <c r="F203" s="48" t="s">
        <v>10</v>
      </c>
      <c r="G203" s="48" t="s">
        <v>11</v>
      </c>
      <c r="H203" s="48" t="s">
        <v>21</v>
      </c>
      <c r="I203" s="48">
        <v>688</v>
      </c>
      <c r="J203" s="48" t="e" vm="5">
        <v>#VALUE!</v>
      </c>
      <c r="K203" s="48" t="e" cm="1" vm="6">
        <f t="array" aca="1" ref="K203" ca="1">_FV(Table2[[#This Row],[City]],"Country/region",TRUE)</f>
        <v>#VALUE!</v>
      </c>
      <c r="L203" s="48">
        <f>Table2[[#This Row],[Quantity]]*Table2[[#This Row],[Price]]</f>
        <v>2401.1200000000003</v>
      </c>
    </row>
    <row r="204" spans="2:12" x14ac:dyDescent="0.25">
      <c r="B204" s="48">
        <v>10653</v>
      </c>
      <c r="C204" s="62">
        <v>44912</v>
      </c>
      <c r="D204" s="47" t="s">
        <v>12</v>
      </c>
      <c r="E204" s="48">
        <v>2.95</v>
      </c>
      <c r="F204" s="48" t="s">
        <v>10</v>
      </c>
      <c r="G204" s="48" t="s">
        <v>11</v>
      </c>
      <c r="H204" s="48" t="s">
        <v>21</v>
      </c>
      <c r="I204" s="48">
        <v>746</v>
      </c>
      <c r="J204" s="48" t="e" vm="5">
        <v>#VALUE!</v>
      </c>
      <c r="K204" s="48" t="e" cm="1" vm="6">
        <f t="array" aca="1" ref="K204" ca="1">_FV(Table2[[#This Row],[City]],"Country/region",TRUE)</f>
        <v>#VALUE!</v>
      </c>
      <c r="L204" s="48">
        <f>Table2[[#This Row],[Quantity]]*Table2[[#This Row],[Price]]</f>
        <v>2200.7000000000003</v>
      </c>
    </row>
    <row r="205" spans="2:12" x14ac:dyDescent="0.25">
      <c r="B205" s="48">
        <v>10654</v>
      </c>
      <c r="C205" s="62">
        <v>44912</v>
      </c>
      <c r="D205" s="47" t="s">
        <v>13</v>
      </c>
      <c r="E205" s="48">
        <v>4.99</v>
      </c>
      <c r="F205" s="48" t="s">
        <v>10</v>
      </c>
      <c r="G205" s="48" t="s">
        <v>11</v>
      </c>
      <c r="H205" s="48" t="s">
        <v>21</v>
      </c>
      <c r="I205" s="48">
        <v>201</v>
      </c>
      <c r="J205" s="48" t="e" vm="5">
        <v>#VALUE!</v>
      </c>
      <c r="K205" s="48" t="e" cm="1" vm="6">
        <f t="array" aca="1" ref="K205" ca="1">_FV(Table2[[#This Row],[City]],"Country/region",TRUE)</f>
        <v>#VALUE!</v>
      </c>
      <c r="L205" s="48">
        <f>Table2[[#This Row],[Quantity]]*Table2[[#This Row],[Price]]</f>
        <v>1002.99</v>
      </c>
    </row>
    <row r="206" spans="2:12" x14ac:dyDescent="0.25">
      <c r="B206" s="48">
        <v>10655</v>
      </c>
      <c r="C206" s="62">
        <v>44913</v>
      </c>
      <c r="D206" s="47" t="s">
        <v>15</v>
      </c>
      <c r="E206" s="48">
        <v>12.99</v>
      </c>
      <c r="F206" s="48" t="s">
        <v>10</v>
      </c>
      <c r="G206" s="48" t="s">
        <v>11</v>
      </c>
      <c r="H206" s="48" t="s">
        <v>21</v>
      </c>
      <c r="I206" s="48">
        <v>601</v>
      </c>
      <c r="J206" s="48" t="e" vm="5">
        <v>#VALUE!</v>
      </c>
      <c r="K206" s="48" t="e" cm="1" vm="6">
        <f t="array" aca="1" ref="K206" ca="1">_FV(Table2[[#This Row],[City]],"Country/region",TRUE)</f>
        <v>#VALUE!</v>
      </c>
      <c r="L206" s="48">
        <f>Table2[[#This Row],[Quantity]]*Table2[[#This Row],[Price]]</f>
        <v>7806.99</v>
      </c>
    </row>
    <row r="207" spans="2:12" x14ac:dyDescent="0.25">
      <c r="B207" s="48">
        <v>10656</v>
      </c>
      <c r="C207" s="62">
        <v>44913</v>
      </c>
      <c r="D207" s="47" t="s">
        <v>18</v>
      </c>
      <c r="E207" s="48">
        <v>9.9499999999999993</v>
      </c>
      <c r="F207" s="48" t="s">
        <v>10</v>
      </c>
      <c r="G207" s="48" t="s">
        <v>11</v>
      </c>
      <c r="H207" s="48" t="s">
        <v>21</v>
      </c>
      <c r="I207" s="48">
        <v>222</v>
      </c>
      <c r="J207" s="48" t="e" vm="5">
        <v>#VALUE!</v>
      </c>
      <c r="K207" s="48" t="e" cm="1" vm="6">
        <f t="array" aca="1" ref="K207" ca="1">_FV(Table2[[#This Row],[City]],"Country/region",TRUE)</f>
        <v>#VALUE!</v>
      </c>
      <c r="L207" s="48">
        <f>Table2[[#This Row],[Quantity]]*Table2[[#This Row],[Price]]</f>
        <v>2208.8999999999996</v>
      </c>
    </row>
    <row r="208" spans="2:12" x14ac:dyDescent="0.25">
      <c r="B208" s="48">
        <v>10657</v>
      </c>
      <c r="C208" s="62">
        <v>44913</v>
      </c>
      <c r="D208" s="47" t="s">
        <v>9</v>
      </c>
      <c r="E208" s="48">
        <v>3.49</v>
      </c>
      <c r="F208" s="48" t="s">
        <v>10</v>
      </c>
      <c r="G208" s="48" t="s">
        <v>11</v>
      </c>
      <c r="H208" s="48" t="s">
        <v>21</v>
      </c>
      <c r="I208" s="48">
        <v>688</v>
      </c>
      <c r="J208" s="48" t="e" vm="5">
        <v>#VALUE!</v>
      </c>
      <c r="K208" s="48" t="e" cm="1" vm="6">
        <f t="array" aca="1" ref="K208" ca="1">_FV(Table2[[#This Row],[City]],"Country/region",TRUE)</f>
        <v>#VALUE!</v>
      </c>
      <c r="L208" s="48">
        <f>Table2[[#This Row],[Quantity]]*Table2[[#This Row],[Price]]</f>
        <v>2401.1200000000003</v>
      </c>
    </row>
    <row r="209" spans="2:12" x14ac:dyDescent="0.25">
      <c r="B209" s="48">
        <v>10658</v>
      </c>
      <c r="C209" s="62">
        <v>44913</v>
      </c>
      <c r="D209" s="47" t="s">
        <v>12</v>
      </c>
      <c r="E209" s="48">
        <v>2.95</v>
      </c>
      <c r="F209" s="48" t="s">
        <v>10</v>
      </c>
      <c r="G209" s="48" t="s">
        <v>23</v>
      </c>
      <c r="H209" s="48" t="s">
        <v>21</v>
      </c>
      <c r="I209" s="48">
        <v>746</v>
      </c>
      <c r="J209" s="48" t="e" vm="5">
        <v>#VALUE!</v>
      </c>
      <c r="K209" s="48" t="e" cm="1" vm="6">
        <f t="array" aca="1" ref="K209" ca="1">_FV(Table2[[#This Row],[City]],"Country/region",TRUE)</f>
        <v>#VALUE!</v>
      </c>
      <c r="L209" s="48">
        <f>Table2[[#This Row],[Quantity]]*Table2[[#This Row],[Price]]</f>
        <v>2200.7000000000003</v>
      </c>
    </row>
    <row r="210" spans="2:12" x14ac:dyDescent="0.25">
      <c r="B210" s="48">
        <v>10659</v>
      </c>
      <c r="C210" s="62">
        <v>44913</v>
      </c>
      <c r="D210" s="47" t="s">
        <v>13</v>
      </c>
      <c r="E210" s="48">
        <v>4.99</v>
      </c>
      <c r="F210" s="48" t="s">
        <v>10</v>
      </c>
      <c r="G210" s="48" t="s">
        <v>23</v>
      </c>
      <c r="H210" s="48" t="s">
        <v>21</v>
      </c>
      <c r="I210" s="48">
        <v>201</v>
      </c>
      <c r="J210" s="48" t="e" vm="5">
        <v>#VALUE!</v>
      </c>
      <c r="K210" s="48" t="e" cm="1" vm="6">
        <f t="array" aca="1" ref="K210" ca="1">_FV(Table2[[#This Row],[City]],"Country/region",TRUE)</f>
        <v>#VALUE!</v>
      </c>
      <c r="L210" s="48">
        <f>Table2[[#This Row],[Quantity]]*Table2[[#This Row],[Price]]</f>
        <v>1002.99</v>
      </c>
    </row>
    <row r="211" spans="2:12" x14ac:dyDescent="0.25">
      <c r="B211" s="48">
        <v>10660</v>
      </c>
      <c r="C211" s="62">
        <v>44914</v>
      </c>
      <c r="D211" s="47" t="s">
        <v>15</v>
      </c>
      <c r="E211" s="48">
        <v>12.99</v>
      </c>
      <c r="F211" s="48" t="s">
        <v>14</v>
      </c>
      <c r="G211" s="48" t="s">
        <v>23</v>
      </c>
      <c r="H211" s="48" t="s">
        <v>21</v>
      </c>
      <c r="I211" s="48">
        <v>632</v>
      </c>
      <c r="J211" s="48" t="e" vm="5">
        <v>#VALUE!</v>
      </c>
      <c r="K211" s="48" t="e" cm="1" vm="6">
        <f t="array" aca="1" ref="K211" ca="1">_FV(Table2[[#This Row],[City]],"Country/region",TRUE)</f>
        <v>#VALUE!</v>
      </c>
      <c r="L211" s="48">
        <f>Table2[[#This Row],[Quantity]]*Table2[[#This Row],[Price]]</f>
        <v>8209.68</v>
      </c>
    </row>
    <row r="212" spans="2:12" x14ac:dyDescent="0.25">
      <c r="B212" s="48">
        <v>10661</v>
      </c>
      <c r="C212" s="62">
        <v>44914</v>
      </c>
      <c r="D212" s="47" t="s">
        <v>18</v>
      </c>
      <c r="E212" s="48">
        <v>9.9499999999999993</v>
      </c>
      <c r="F212" s="48" t="s">
        <v>14</v>
      </c>
      <c r="G212" s="48" t="s">
        <v>23</v>
      </c>
      <c r="H212" s="48" t="s">
        <v>21</v>
      </c>
      <c r="I212" s="48">
        <v>222</v>
      </c>
      <c r="J212" s="48" t="e" vm="5">
        <v>#VALUE!</v>
      </c>
      <c r="K212" s="48" t="e" cm="1" vm="6">
        <f t="array" aca="1" ref="K212" ca="1">_FV(Table2[[#This Row],[City]],"Country/region",TRUE)</f>
        <v>#VALUE!</v>
      </c>
      <c r="L212" s="48">
        <f>Table2[[#This Row],[Quantity]]*Table2[[#This Row],[Price]]</f>
        <v>2208.8999999999996</v>
      </c>
    </row>
    <row r="213" spans="2:12" x14ac:dyDescent="0.25">
      <c r="B213" s="48">
        <v>10662</v>
      </c>
      <c r="C213" s="62">
        <v>44914</v>
      </c>
      <c r="D213" s="47" t="s">
        <v>9</v>
      </c>
      <c r="E213" s="48">
        <v>3.49</v>
      </c>
      <c r="F213" s="48" t="s">
        <v>14</v>
      </c>
      <c r="G213" s="48" t="s">
        <v>23</v>
      </c>
      <c r="H213" s="48" t="s">
        <v>21</v>
      </c>
      <c r="I213" s="48">
        <v>631</v>
      </c>
      <c r="J213" s="48" t="e" vm="5">
        <v>#VALUE!</v>
      </c>
      <c r="K213" s="48" t="e" cm="1" vm="6">
        <f t="array" aca="1" ref="K213" ca="1">_FV(Table2[[#This Row],[City]],"Country/region",TRUE)</f>
        <v>#VALUE!</v>
      </c>
      <c r="L213" s="48">
        <f>Table2[[#This Row],[Quantity]]*Table2[[#This Row],[Price]]</f>
        <v>2202.19</v>
      </c>
    </row>
    <row r="214" spans="2:12" x14ac:dyDescent="0.25">
      <c r="B214" s="48">
        <v>10663</v>
      </c>
      <c r="C214" s="62">
        <v>44914</v>
      </c>
      <c r="D214" s="47" t="s">
        <v>12</v>
      </c>
      <c r="E214" s="48">
        <v>2.95</v>
      </c>
      <c r="F214" s="48" t="s">
        <v>14</v>
      </c>
      <c r="G214" s="48" t="s">
        <v>23</v>
      </c>
      <c r="H214" s="48" t="s">
        <v>21</v>
      </c>
      <c r="I214" s="48">
        <v>746</v>
      </c>
      <c r="J214" s="48" t="e" vm="5">
        <v>#VALUE!</v>
      </c>
      <c r="K214" s="48" t="e" cm="1" vm="6">
        <f t="array" aca="1" ref="K214" ca="1">_FV(Table2[[#This Row],[City]],"Country/region",TRUE)</f>
        <v>#VALUE!</v>
      </c>
      <c r="L214" s="48">
        <f>Table2[[#This Row],[Quantity]]*Table2[[#This Row],[Price]]</f>
        <v>2200.7000000000003</v>
      </c>
    </row>
    <row r="215" spans="2:12" x14ac:dyDescent="0.25">
      <c r="B215" s="48">
        <v>10664</v>
      </c>
      <c r="C215" s="62">
        <v>44914</v>
      </c>
      <c r="D215" s="47" t="s">
        <v>13</v>
      </c>
      <c r="E215" s="48">
        <v>4.99</v>
      </c>
      <c r="F215" s="48" t="s">
        <v>14</v>
      </c>
      <c r="G215" s="48" t="s">
        <v>23</v>
      </c>
      <c r="H215" s="48" t="s">
        <v>21</v>
      </c>
      <c r="I215" s="48">
        <v>201</v>
      </c>
      <c r="J215" s="48" t="e" vm="5">
        <v>#VALUE!</v>
      </c>
      <c r="K215" s="48" t="e" cm="1" vm="6">
        <f t="array" aca="1" ref="K215" ca="1">_FV(Table2[[#This Row],[City]],"Country/region",TRUE)</f>
        <v>#VALUE!</v>
      </c>
      <c r="L215" s="48">
        <f>Table2[[#This Row],[Quantity]]*Table2[[#This Row],[Price]]</f>
        <v>1002.99</v>
      </c>
    </row>
    <row r="216" spans="2:12" x14ac:dyDescent="0.25">
      <c r="B216" s="48">
        <v>10665</v>
      </c>
      <c r="C216" s="62">
        <v>44915</v>
      </c>
      <c r="D216" s="47" t="s">
        <v>15</v>
      </c>
      <c r="E216" s="48">
        <v>12.99</v>
      </c>
      <c r="F216" s="48" t="s">
        <v>14</v>
      </c>
      <c r="G216" s="48" t="s">
        <v>23</v>
      </c>
      <c r="H216" s="48" t="s">
        <v>21</v>
      </c>
      <c r="I216" s="48">
        <v>647</v>
      </c>
      <c r="J216" s="48" t="e" vm="5">
        <v>#VALUE!</v>
      </c>
      <c r="K216" s="48" t="e" cm="1" vm="6">
        <f t="array" aca="1" ref="K216" ca="1">_FV(Table2[[#This Row],[City]],"Country/region",TRUE)</f>
        <v>#VALUE!</v>
      </c>
      <c r="L216" s="48">
        <f>Table2[[#This Row],[Quantity]]*Table2[[#This Row],[Price]]</f>
        <v>8404.5300000000007</v>
      </c>
    </row>
    <row r="217" spans="2:12" x14ac:dyDescent="0.25">
      <c r="B217" s="48">
        <v>10666</v>
      </c>
      <c r="C217" s="62">
        <v>44915</v>
      </c>
      <c r="D217" s="47" t="s">
        <v>18</v>
      </c>
      <c r="E217" s="48">
        <v>9.9499999999999993</v>
      </c>
      <c r="F217" s="48" t="s">
        <v>14</v>
      </c>
      <c r="G217" s="48" t="s">
        <v>23</v>
      </c>
      <c r="H217" s="48" t="s">
        <v>21</v>
      </c>
      <c r="I217" s="48">
        <v>222</v>
      </c>
      <c r="J217" s="48" t="e" vm="5">
        <v>#VALUE!</v>
      </c>
      <c r="K217" s="48" t="e" cm="1" vm="6">
        <f t="array" aca="1" ref="K217" ca="1">_FV(Table2[[#This Row],[City]],"Country/region",TRUE)</f>
        <v>#VALUE!</v>
      </c>
      <c r="L217" s="48">
        <f>Table2[[#This Row],[Quantity]]*Table2[[#This Row],[Price]]</f>
        <v>2208.8999999999996</v>
      </c>
    </row>
    <row r="218" spans="2:12" x14ac:dyDescent="0.25">
      <c r="B218" s="48">
        <v>10667</v>
      </c>
      <c r="C218" s="62">
        <v>44915</v>
      </c>
      <c r="D218" s="47" t="s">
        <v>9</v>
      </c>
      <c r="E218" s="48">
        <v>3.49</v>
      </c>
      <c r="F218" s="48" t="s">
        <v>14</v>
      </c>
      <c r="G218" s="48" t="s">
        <v>23</v>
      </c>
      <c r="H218" s="48" t="s">
        <v>21</v>
      </c>
      <c r="I218" s="48">
        <v>631</v>
      </c>
      <c r="J218" s="48" t="e" vm="5">
        <v>#VALUE!</v>
      </c>
      <c r="K218" s="48" t="e" cm="1" vm="6">
        <f t="array" aca="1" ref="K218" ca="1">_FV(Table2[[#This Row],[City]],"Country/region",TRUE)</f>
        <v>#VALUE!</v>
      </c>
      <c r="L218" s="48">
        <f>Table2[[#This Row],[Quantity]]*Table2[[#This Row],[Price]]</f>
        <v>2202.19</v>
      </c>
    </row>
    <row r="219" spans="2:12" x14ac:dyDescent="0.25">
      <c r="B219" s="48">
        <v>10668</v>
      </c>
      <c r="C219" s="62">
        <v>44915</v>
      </c>
      <c r="D219" s="47" t="s">
        <v>12</v>
      </c>
      <c r="E219" s="48">
        <v>2.95</v>
      </c>
      <c r="F219" s="48" t="s">
        <v>14</v>
      </c>
      <c r="G219" s="48" t="s">
        <v>23</v>
      </c>
      <c r="H219" s="48" t="s">
        <v>21</v>
      </c>
      <c r="I219" s="48">
        <v>746</v>
      </c>
      <c r="J219" s="48" t="e" vm="5">
        <v>#VALUE!</v>
      </c>
      <c r="K219" s="48" t="e" cm="1" vm="6">
        <f t="array" aca="1" ref="K219" ca="1">_FV(Table2[[#This Row],[City]],"Country/region",TRUE)</f>
        <v>#VALUE!</v>
      </c>
      <c r="L219" s="48">
        <f>Table2[[#This Row],[Quantity]]*Table2[[#This Row],[Price]]</f>
        <v>2200.7000000000003</v>
      </c>
    </row>
    <row r="220" spans="2:12" x14ac:dyDescent="0.25">
      <c r="B220" s="48">
        <v>10669</v>
      </c>
      <c r="C220" s="62">
        <v>44915</v>
      </c>
      <c r="D220" s="47" t="s">
        <v>13</v>
      </c>
      <c r="E220" s="48">
        <v>4.99</v>
      </c>
      <c r="F220" s="48" t="s">
        <v>14</v>
      </c>
      <c r="G220" s="48" t="s">
        <v>23</v>
      </c>
      <c r="H220" s="48" t="s">
        <v>21</v>
      </c>
      <c r="I220" s="48">
        <v>201</v>
      </c>
      <c r="J220" s="48" t="e" vm="5">
        <v>#VALUE!</v>
      </c>
      <c r="K220" s="48" t="e" cm="1" vm="6">
        <f t="array" aca="1" ref="K220" ca="1">_FV(Table2[[#This Row],[City]],"Country/region",TRUE)</f>
        <v>#VALUE!</v>
      </c>
      <c r="L220" s="48">
        <f>Table2[[#This Row],[Quantity]]*Table2[[#This Row],[Price]]</f>
        <v>1002.99</v>
      </c>
    </row>
    <row r="221" spans="2:12" x14ac:dyDescent="0.25">
      <c r="B221" s="48">
        <v>10670</v>
      </c>
      <c r="C221" s="62">
        <v>44916</v>
      </c>
      <c r="D221" s="47" t="s">
        <v>15</v>
      </c>
      <c r="E221" s="48">
        <v>12.99</v>
      </c>
      <c r="F221" s="48" t="s">
        <v>14</v>
      </c>
      <c r="G221" s="48" t="s">
        <v>23</v>
      </c>
      <c r="H221" s="48" t="s">
        <v>21</v>
      </c>
      <c r="I221" s="48">
        <v>678</v>
      </c>
      <c r="J221" s="48" t="e" vm="5">
        <v>#VALUE!</v>
      </c>
      <c r="K221" s="48" t="e" cm="1" vm="6">
        <f t="array" aca="1" ref="K221" ca="1">_FV(Table2[[#This Row],[City]],"Country/region",TRUE)</f>
        <v>#VALUE!</v>
      </c>
      <c r="L221" s="48">
        <f>Table2[[#This Row],[Quantity]]*Table2[[#This Row],[Price]]</f>
        <v>8807.2199999999993</v>
      </c>
    </row>
    <row r="222" spans="2:12" x14ac:dyDescent="0.25">
      <c r="B222" s="48">
        <v>10671</v>
      </c>
      <c r="C222" s="62">
        <v>44916</v>
      </c>
      <c r="D222" s="47" t="s">
        <v>18</v>
      </c>
      <c r="E222" s="48">
        <v>9.9499999999999993</v>
      </c>
      <c r="F222" s="48" t="s">
        <v>14</v>
      </c>
      <c r="G222" s="48" t="s">
        <v>23</v>
      </c>
      <c r="H222" s="48" t="s">
        <v>21</v>
      </c>
      <c r="I222" s="48">
        <v>222</v>
      </c>
      <c r="J222" s="48" t="e" vm="5">
        <v>#VALUE!</v>
      </c>
      <c r="K222" s="48" t="e" cm="1" vm="6">
        <f t="array" aca="1" ref="K222" ca="1">_FV(Table2[[#This Row],[City]],"Country/region",TRUE)</f>
        <v>#VALUE!</v>
      </c>
      <c r="L222" s="48">
        <f>Table2[[#This Row],[Quantity]]*Table2[[#This Row],[Price]]</f>
        <v>2208.8999999999996</v>
      </c>
    </row>
    <row r="223" spans="2:12" x14ac:dyDescent="0.25">
      <c r="B223" s="48">
        <v>10672</v>
      </c>
      <c r="C223" s="62">
        <v>44916</v>
      </c>
      <c r="D223" s="47" t="s">
        <v>9</v>
      </c>
      <c r="E223" s="48">
        <v>3.49</v>
      </c>
      <c r="F223" s="48" t="s">
        <v>14</v>
      </c>
      <c r="G223" s="48" t="s">
        <v>23</v>
      </c>
      <c r="H223" s="48" t="s">
        <v>21</v>
      </c>
      <c r="I223" s="48">
        <v>631</v>
      </c>
      <c r="J223" s="48" t="e" vm="5">
        <v>#VALUE!</v>
      </c>
      <c r="K223" s="48" t="e" cm="1" vm="6">
        <f t="array" aca="1" ref="K223" ca="1">_FV(Table2[[#This Row],[City]],"Country/region",TRUE)</f>
        <v>#VALUE!</v>
      </c>
      <c r="L223" s="48">
        <f>Table2[[#This Row],[Quantity]]*Table2[[#This Row],[Price]]</f>
        <v>2202.19</v>
      </c>
    </row>
    <row r="224" spans="2:12" x14ac:dyDescent="0.25">
      <c r="B224" s="48">
        <v>10673</v>
      </c>
      <c r="C224" s="62">
        <v>44916</v>
      </c>
      <c r="D224" s="47" t="s">
        <v>12</v>
      </c>
      <c r="E224" s="48">
        <v>2.95</v>
      </c>
      <c r="F224" s="48" t="s">
        <v>14</v>
      </c>
      <c r="G224" s="48" t="s">
        <v>23</v>
      </c>
      <c r="H224" s="48" t="s">
        <v>21</v>
      </c>
      <c r="I224" s="48">
        <v>746</v>
      </c>
      <c r="J224" s="48" t="e" vm="5">
        <v>#VALUE!</v>
      </c>
      <c r="K224" s="48" t="e" cm="1" vm="6">
        <f t="array" aca="1" ref="K224" ca="1">_FV(Table2[[#This Row],[City]],"Country/region",TRUE)</f>
        <v>#VALUE!</v>
      </c>
      <c r="L224" s="48">
        <f>Table2[[#This Row],[Quantity]]*Table2[[#This Row],[Price]]</f>
        <v>2200.7000000000003</v>
      </c>
    </row>
    <row r="225" spans="2:12" x14ac:dyDescent="0.25">
      <c r="B225" s="48">
        <v>10674</v>
      </c>
      <c r="C225" s="62">
        <v>44916</v>
      </c>
      <c r="D225" s="47" t="s">
        <v>13</v>
      </c>
      <c r="E225" s="48">
        <v>4.99</v>
      </c>
      <c r="F225" s="48" t="s">
        <v>14</v>
      </c>
      <c r="G225" s="48" t="s">
        <v>23</v>
      </c>
      <c r="H225" s="48" t="s">
        <v>21</v>
      </c>
      <c r="I225" s="48">
        <v>201</v>
      </c>
      <c r="J225" s="48" t="e" vm="5">
        <v>#VALUE!</v>
      </c>
      <c r="K225" s="48" t="e" cm="1" vm="6">
        <f t="array" aca="1" ref="K225" ca="1">_FV(Table2[[#This Row],[City]],"Country/region",TRUE)</f>
        <v>#VALUE!</v>
      </c>
      <c r="L225" s="48">
        <f>Table2[[#This Row],[Quantity]]*Table2[[#This Row],[Price]]</f>
        <v>1002.99</v>
      </c>
    </row>
    <row r="226" spans="2:12" x14ac:dyDescent="0.25">
      <c r="B226" s="48">
        <v>10675</v>
      </c>
      <c r="C226" s="62">
        <v>44917</v>
      </c>
      <c r="D226" s="47" t="s">
        <v>15</v>
      </c>
      <c r="E226" s="48">
        <v>12.99</v>
      </c>
      <c r="F226" s="48" t="s">
        <v>14</v>
      </c>
      <c r="G226" s="48" t="s">
        <v>23</v>
      </c>
      <c r="H226" s="48" t="s">
        <v>21</v>
      </c>
      <c r="I226" s="48">
        <v>678</v>
      </c>
      <c r="J226" s="48" t="e" vm="5">
        <v>#VALUE!</v>
      </c>
      <c r="K226" s="48" t="e" cm="1" vm="6">
        <f t="array" aca="1" ref="K226" ca="1">_FV(Table2[[#This Row],[City]],"Country/region",TRUE)</f>
        <v>#VALUE!</v>
      </c>
      <c r="L226" s="48">
        <f>Table2[[#This Row],[Quantity]]*Table2[[#This Row],[Price]]</f>
        <v>8807.2199999999993</v>
      </c>
    </row>
    <row r="227" spans="2:12" x14ac:dyDescent="0.25">
      <c r="B227" s="48">
        <v>10676</v>
      </c>
      <c r="C227" s="62">
        <v>44917</v>
      </c>
      <c r="D227" s="47" t="s">
        <v>18</v>
      </c>
      <c r="E227" s="48">
        <v>9.9499999999999993</v>
      </c>
      <c r="F227" s="48" t="s">
        <v>14</v>
      </c>
      <c r="G227" s="48" t="s">
        <v>23</v>
      </c>
      <c r="H227" s="48" t="s">
        <v>21</v>
      </c>
      <c r="I227" s="48">
        <v>242</v>
      </c>
      <c r="J227" s="48" t="e" vm="5">
        <v>#VALUE!</v>
      </c>
      <c r="K227" s="48" t="e" cm="1" vm="6">
        <f t="array" aca="1" ref="K227" ca="1">_FV(Table2[[#This Row],[City]],"Country/region",TRUE)</f>
        <v>#VALUE!</v>
      </c>
      <c r="L227" s="48">
        <f>Table2[[#This Row],[Quantity]]*Table2[[#This Row],[Price]]</f>
        <v>2407.8999999999996</v>
      </c>
    </row>
    <row r="228" spans="2:12" x14ac:dyDescent="0.25">
      <c r="B228" s="48">
        <v>10677</v>
      </c>
      <c r="C228" s="62">
        <v>44917</v>
      </c>
      <c r="D228" s="47" t="s">
        <v>9</v>
      </c>
      <c r="E228" s="48">
        <v>3.49</v>
      </c>
      <c r="F228" s="48" t="s">
        <v>14</v>
      </c>
      <c r="G228" s="48" t="s">
        <v>23</v>
      </c>
      <c r="H228" s="48" t="s">
        <v>21</v>
      </c>
      <c r="I228" s="48">
        <v>631</v>
      </c>
      <c r="J228" s="48" t="e" vm="5">
        <v>#VALUE!</v>
      </c>
      <c r="K228" s="48" t="e" cm="1" vm="6">
        <f t="array" aca="1" ref="K228" ca="1">_FV(Table2[[#This Row],[City]],"Country/region",TRUE)</f>
        <v>#VALUE!</v>
      </c>
      <c r="L228" s="48">
        <f>Table2[[#This Row],[Quantity]]*Table2[[#This Row],[Price]]</f>
        <v>2202.19</v>
      </c>
    </row>
    <row r="229" spans="2:12" x14ac:dyDescent="0.25">
      <c r="B229" s="48">
        <v>10678</v>
      </c>
      <c r="C229" s="62">
        <v>44917</v>
      </c>
      <c r="D229" s="47" t="s">
        <v>12</v>
      </c>
      <c r="E229" s="48">
        <v>2.95</v>
      </c>
      <c r="F229" s="48" t="s">
        <v>14</v>
      </c>
      <c r="G229" s="48" t="s">
        <v>23</v>
      </c>
      <c r="H229" s="48" t="s">
        <v>21</v>
      </c>
      <c r="I229" s="48">
        <v>746</v>
      </c>
      <c r="J229" s="48" t="e" vm="5">
        <v>#VALUE!</v>
      </c>
      <c r="K229" s="48" t="e" cm="1" vm="6">
        <f t="array" aca="1" ref="K229" ca="1">_FV(Table2[[#This Row],[City]],"Country/region",TRUE)</f>
        <v>#VALUE!</v>
      </c>
      <c r="L229" s="48">
        <f>Table2[[#This Row],[Quantity]]*Table2[[#This Row],[Price]]</f>
        <v>2200.7000000000003</v>
      </c>
    </row>
    <row r="230" spans="2:12" x14ac:dyDescent="0.25">
      <c r="B230" s="48">
        <v>10679</v>
      </c>
      <c r="C230" s="62">
        <v>44917</v>
      </c>
      <c r="D230" s="47" t="s">
        <v>13</v>
      </c>
      <c r="E230" s="48">
        <v>4.99</v>
      </c>
      <c r="F230" s="48" t="s">
        <v>14</v>
      </c>
      <c r="G230" s="48" t="s">
        <v>23</v>
      </c>
      <c r="H230" s="48" t="s">
        <v>21</v>
      </c>
      <c r="I230" s="48">
        <v>201</v>
      </c>
      <c r="J230" s="48" t="e" vm="5">
        <v>#VALUE!</v>
      </c>
      <c r="K230" s="48" t="e" cm="1" vm="6">
        <f t="array" aca="1" ref="K230" ca="1">_FV(Table2[[#This Row],[City]],"Country/region",TRUE)</f>
        <v>#VALUE!</v>
      </c>
      <c r="L230" s="48">
        <f>Table2[[#This Row],[Quantity]]*Table2[[#This Row],[Price]]</f>
        <v>1002.99</v>
      </c>
    </row>
    <row r="231" spans="2:12" x14ac:dyDescent="0.25">
      <c r="B231" s="48">
        <v>10680</v>
      </c>
      <c r="C231" s="62">
        <v>44918</v>
      </c>
      <c r="D231" s="47" t="s">
        <v>15</v>
      </c>
      <c r="E231" s="48">
        <v>12.99</v>
      </c>
      <c r="F231" s="48" t="s">
        <v>14</v>
      </c>
      <c r="G231" s="48" t="s">
        <v>23</v>
      </c>
      <c r="H231" s="48" t="s">
        <v>21</v>
      </c>
      <c r="I231" s="48">
        <v>647</v>
      </c>
      <c r="J231" s="48" t="e" vm="5">
        <v>#VALUE!</v>
      </c>
      <c r="K231" s="48" t="e" cm="1" vm="6">
        <f t="array" aca="1" ref="K231" ca="1">_FV(Table2[[#This Row],[City]],"Country/region",TRUE)</f>
        <v>#VALUE!</v>
      </c>
      <c r="L231" s="48">
        <f>Table2[[#This Row],[Quantity]]*Table2[[#This Row],[Price]]</f>
        <v>8404.5300000000007</v>
      </c>
    </row>
    <row r="232" spans="2:12" x14ac:dyDescent="0.25">
      <c r="B232" s="48">
        <v>10681</v>
      </c>
      <c r="C232" s="62">
        <v>44918</v>
      </c>
      <c r="D232" s="47" t="s">
        <v>18</v>
      </c>
      <c r="E232" s="48">
        <v>9.9499999999999993</v>
      </c>
      <c r="F232" s="48" t="s">
        <v>14</v>
      </c>
      <c r="G232" s="48" t="s">
        <v>23</v>
      </c>
      <c r="H232" s="48" t="s">
        <v>21</v>
      </c>
      <c r="I232" s="48">
        <v>242</v>
      </c>
      <c r="J232" s="48" t="e" vm="5">
        <v>#VALUE!</v>
      </c>
      <c r="K232" s="48" t="e" cm="1" vm="6">
        <f t="array" aca="1" ref="K232" ca="1">_FV(Table2[[#This Row],[City]],"Country/region",TRUE)</f>
        <v>#VALUE!</v>
      </c>
      <c r="L232" s="48">
        <f>Table2[[#This Row],[Quantity]]*Table2[[#This Row],[Price]]</f>
        <v>2407.8999999999996</v>
      </c>
    </row>
    <row r="233" spans="2:12" x14ac:dyDescent="0.25">
      <c r="B233" s="48">
        <v>10682</v>
      </c>
      <c r="C233" s="62">
        <v>44918</v>
      </c>
      <c r="D233" s="47" t="s">
        <v>9</v>
      </c>
      <c r="E233" s="48">
        <v>3.49</v>
      </c>
      <c r="F233" s="48" t="s">
        <v>14</v>
      </c>
      <c r="G233" s="48" t="s">
        <v>23</v>
      </c>
      <c r="H233" s="48" t="s">
        <v>21</v>
      </c>
      <c r="I233" s="48">
        <v>631</v>
      </c>
      <c r="J233" s="48" t="e" vm="5">
        <v>#VALUE!</v>
      </c>
      <c r="K233" s="48" t="e" cm="1" vm="6">
        <f t="array" aca="1" ref="K233" ca="1">_FV(Table2[[#This Row],[City]],"Country/region",TRUE)</f>
        <v>#VALUE!</v>
      </c>
      <c r="L233" s="48">
        <f>Table2[[#This Row],[Quantity]]*Table2[[#This Row],[Price]]</f>
        <v>2202.19</v>
      </c>
    </row>
    <row r="234" spans="2:12" x14ac:dyDescent="0.25">
      <c r="B234" s="48">
        <v>10683</v>
      </c>
      <c r="C234" s="62">
        <v>44918</v>
      </c>
      <c r="D234" s="47" t="s">
        <v>12</v>
      </c>
      <c r="E234" s="48">
        <v>2.95</v>
      </c>
      <c r="F234" s="48" t="s">
        <v>14</v>
      </c>
      <c r="G234" s="48" t="s">
        <v>23</v>
      </c>
      <c r="H234" s="48" t="s">
        <v>21</v>
      </c>
      <c r="I234" s="48">
        <v>678</v>
      </c>
      <c r="J234" s="48" t="e" vm="5">
        <v>#VALUE!</v>
      </c>
      <c r="K234" s="48" t="e" cm="1" vm="6">
        <f t="array" aca="1" ref="K234" ca="1">_FV(Table2[[#This Row],[City]],"Country/region",TRUE)</f>
        <v>#VALUE!</v>
      </c>
      <c r="L234" s="48">
        <f>Table2[[#This Row],[Quantity]]*Table2[[#This Row],[Price]]</f>
        <v>2000.1000000000001</v>
      </c>
    </row>
    <row r="235" spans="2:12" x14ac:dyDescent="0.25">
      <c r="B235" s="48">
        <v>10684</v>
      </c>
      <c r="C235" s="62">
        <v>44918</v>
      </c>
      <c r="D235" s="47" t="s">
        <v>13</v>
      </c>
      <c r="E235" s="48">
        <v>4.99</v>
      </c>
      <c r="F235" s="48" t="s">
        <v>14</v>
      </c>
      <c r="G235" s="48" t="s">
        <v>23</v>
      </c>
      <c r="H235" s="48" t="s">
        <v>21</v>
      </c>
      <c r="I235" s="48">
        <v>201</v>
      </c>
      <c r="J235" s="48" t="e" vm="5">
        <v>#VALUE!</v>
      </c>
      <c r="K235" s="48" t="e" cm="1" vm="6">
        <f t="array" aca="1" ref="K235" ca="1">_FV(Table2[[#This Row],[City]],"Country/region",TRUE)</f>
        <v>#VALUE!</v>
      </c>
      <c r="L235" s="48">
        <f>Table2[[#This Row],[Quantity]]*Table2[[#This Row],[Price]]</f>
        <v>1002.99</v>
      </c>
    </row>
    <row r="236" spans="2:12" x14ac:dyDescent="0.25">
      <c r="B236" s="48">
        <v>10685</v>
      </c>
      <c r="C236" s="62">
        <v>44919</v>
      </c>
      <c r="D236" s="47" t="s">
        <v>15</v>
      </c>
      <c r="E236" s="48">
        <v>12.99</v>
      </c>
      <c r="F236" s="48" t="s">
        <v>14</v>
      </c>
      <c r="G236" s="48" t="s">
        <v>23</v>
      </c>
      <c r="H236" s="48" t="s">
        <v>21</v>
      </c>
      <c r="I236" s="48">
        <v>678</v>
      </c>
      <c r="J236" s="48" t="e" vm="5">
        <v>#VALUE!</v>
      </c>
      <c r="K236" s="48" t="e" cm="1" vm="6">
        <f t="array" aca="1" ref="K236" ca="1">_FV(Table2[[#This Row],[City]],"Country/region",TRUE)</f>
        <v>#VALUE!</v>
      </c>
      <c r="L236" s="48">
        <f>Table2[[#This Row],[Quantity]]*Table2[[#This Row],[Price]]</f>
        <v>8807.2199999999993</v>
      </c>
    </row>
    <row r="237" spans="2:12" x14ac:dyDescent="0.25">
      <c r="B237" s="48">
        <v>10686</v>
      </c>
      <c r="C237" s="62">
        <v>44919</v>
      </c>
      <c r="D237" s="47" t="s">
        <v>18</v>
      </c>
      <c r="E237" s="48">
        <v>9.9499999999999993</v>
      </c>
      <c r="F237" s="48" t="s">
        <v>14</v>
      </c>
      <c r="G237" s="48" t="s">
        <v>23</v>
      </c>
      <c r="H237" s="48" t="s">
        <v>21</v>
      </c>
      <c r="I237" s="48">
        <v>242</v>
      </c>
      <c r="J237" s="48" t="e" vm="5">
        <v>#VALUE!</v>
      </c>
      <c r="K237" s="48" t="e" cm="1" vm="6">
        <f t="array" aca="1" ref="K237" ca="1">_FV(Table2[[#This Row],[City]],"Country/region",TRUE)</f>
        <v>#VALUE!</v>
      </c>
      <c r="L237" s="48">
        <f>Table2[[#This Row],[Quantity]]*Table2[[#This Row],[Price]]</f>
        <v>2407.8999999999996</v>
      </c>
    </row>
    <row r="238" spans="2:12" x14ac:dyDescent="0.25">
      <c r="B238" s="48">
        <v>10687</v>
      </c>
      <c r="C238" s="62">
        <v>44919</v>
      </c>
      <c r="D238" s="47" t="s">
        <v>9</v>
      </c>
      <c r="E238" s="48">
        <v>3.49</v>
      </c>
      <c r="F238" s="48" t="s">
        <v>14</v>
      </c>
      <c r="G238" s="48" t="s">
        <v>23</v>
      </c>
      <c r="H238" s="48" t="s">
        <v>17</v>
      </c>
      <c r="I238" s="48">
        <v>631</v>
      </c>
      <c r="J238" s="48" t="e" vm="7">
        <v>#VALUE!</v>
      </c>
      <c r="K238" s="48" t="e" cm="1" vm="8">
        <f t="array" aca="1" ref="K238" ca="1">_FV(Table2[[#This Row],[City]],"Country/region",TRUE)</f>
        <v>#VALUE!</v>
      </c>
      <c r="L238" s="48">
        <f>Table2[[#This Row],[Quantity]]*Table2[[#This Row],[Price]]</f>
        <v>2202.19</v>
      </c>
    </row>
    <row r="239" spans="2:12" x14ac:dyDescent="0.25">
      <c r="B239" s="48">
        <v>10688</v>
      </c>
      <c r="C239" s="62">
        <v>44919</v>
      </c>
      <c r="D239" s="47" t="s">
        <v>12</v>
      </c>
      <c r="E239" s="48">
        <v>2.95</v>
      </c>
      <c r="F239" s="48" t="s">
        <v>14</v>
      </c>
      <c r="G239" s="48" t="s">
        <v>23</v>
      </c>
      <c r="H239" s="48" t="s">
        <v>17</v>
      </c>
      <c r="I239" s="48">
        <v>678</v>
      </c>
      <c r="J239" s="48" t="e" vm="7">
        <v>#VALUE!</v>
      </c>
      <c r="K239" s="48" t="e" cm="1" vm="8">
        <f t="array" aca="1" ref="K239" ca="1">_FV(Table2[[#This Row],[City]],"Country/region",TRUE)</f>
        <v>#VALUE!</v>
      </c>
      <c r="L239" s="48">
        <f>Table2[[#This Row],[Quantity]]*Table2[[#This Row],[Price]]</f>
        <v>2000.1000000000001</v>
      </c>
    </row>
    <row r="240" spans="2:12" x14ac:dyDescent="0.25">
      <c r="B240" s="48">
        <v>10689</v>
      </c>
      <c r="C240" s="62">
        <v>44919</v>
      </c>
      <c r="D240" s="47" t="s">
        <v>13</v>
      </c>
      <c r="E240" s="48">
        <v>4.99</v>
      </c>
      <c r="F240" s="48" t="s">
        <v>14</v>
      </c>
      <c r="G240" s="48" t="s">
        <v>23</v>
      </c>
      <c r="H240" s="48" t="s">
        <v>17</v>
      </c>
      <c r="I240" s="48">
        <v>201</v>
      </c>
      <c r="J240" s="48" t="e" vm="7">
        <v>#VALUE!</v>
      </c>
      <c r="K240" s="48" t="e" cm="1" vm="8">
        <f t="array" aca="1" ref="K240" ca="1">_FV(Table2[[#This Row],[City]],"Country/region",TRUE)</f>
        <v>#VALUE!</v>
      </c>
      <c r="L240" s="48">
        <f>Table2[[#This Row],[Quantity]]*Table2[[#This Row],[Price]]</f>
        <v>1002.99</v>
      </c>
    </row>
    <row r="241" spans="2:12" x14ac:dyDescent="0.25">
      <c r="B241" s="48">
        <v>10690</v>
      </c>
      <c r="C241" s="62">
        <v>44920</v>
      </c>
      <c r="D241" s="47" t="s">
        <v>15</v>
      </c>
      <c r="E241" s="48">
        <v>12.99</v>
      </c>
      <c r="F241" s="48" t="s">
        <v>14</v>
      </c>
      <c r="G241" s="48" t="s">
        <v>23</v>
      </c>
      <c r="H241" s="48" t="s">
        <v>17</v>
      </c>
      <c r="I241" s="48">
        <v>678</v>
      </c>
      <c r="J241" s="48" t="e" vm="7">
        <v>#VALUE!</v>
      </c>
      <c r="K241" s="48" t="e" cm="1" vm="8">
        <f t="array" aca="1" ref="K241" ca="1">_FV(Table2[[#This Row],[City]],"Country/region",TRUE)</f>
        <v>#VALUE!</v>
      </c>
      <c r="L241" s="48">
        <f>Table2[[#This Row],[Quantity]]*Table2[[#This Row],[Price]]</f>
        <v>8807.2199999999993</v>
      </c>
    </row>
    <row r="242" spans="2:12" x14ac:dyDescent="0.25">
      <c r="B242" s="48">
        <v>10691</v>
      </c>
      <c r="C242" s="62">
        <v>44920</v>
      </c>
      <c r="D242" s="47" t="s">
        <v>18</v>
      </c>
      <c r="E242" s="48">
        <v>9.9499999999999993</v>
      </c>
      <c r="F242" s="48" t="s">
        <v>14</v>
      </c>
      <c r="G242" s="48" t="s">
        <v>23</v>
      </c>
      <c r="H242" s="48" t="s">
        <v>17</v>
      </c>
      <c r="I242" s="48">
        <v>262</v>
      </c>
      <c r="J242" s="48" t="e" vm="7">
        <v>#VALUE!</v>
      </c>
      <c r="K242" s="48" t="e" cm="1" vm="8">
        <f t="array" aca="1" ref="K242" ca="1">_FV(Table2[[#This Row],[City]],"Country/region",TRUE)</f>
        <v>#VALUE!</v>
      </c>
      <c r="L242" s="48">
        <f>Table2[[#This Row],[Quantity]]*Table2[[#This Row],[Price]]</f>
        <v>2606.8999999999996</v>
      </c>
    </row>
    <row r="243" spans="2:12" x14ac:dyDescent="0.25">
      <c r="B243" s="48">
        <v>10692</v>
      </c>
      <c r="C243" s="62">
        <v>44920</v>
      </c>
      <c r="D243" s="47" t="s">
        <v>9</v>
      </c>
      <c r="E243" s="48">
        <v>3.49</v>
      </c>
      <c r="F243" s="48" t="s">
        <v>14</v>
      </c>
      <c r="G243" s="48" t="s">
        <v>23</v>
      </c>
      <c r="H243" s="48" t="s">
        <v>17</v>
      </c>
      <c r="I243" s="48">
        <v>631</v>
      </c>
      <c r="J243" s="48" t="e" vm="7">
        <v>#VALUE!</v>
      </c>
      <c r="K243" s="48" t="e" cm="1" vm="8">
        <f t="array" aca="1" ref="K243" ca="1">_FV(Table2[[#This Row],[City]],"Country/region",TRUE)</f>
        <v>#VALUE!</v>
      </c>
      <c r="L243" s="48">
        <f>Table2[[#This Row],[Quantity]]*Table2[[#This Row],[Price]]</f>
        <v>2202.19</v>
      </c>
    </row>
    <row r="244" spans="2:12" x14ac:dyDescent="0.25">
      <c r="B244" s="48">
        <v>10693</v>
      </c>
      <c r="C244" s="62">
        <v>44920</v>
      </c>
      <c r="D244" s="47" t="s">
        <v>12</v>
      </c>
      <c r="E244" s="48">
        <v>2.95</v>
      </c>
      <c r="F244" s="48" t="s">
        <v>14</v>
      </c>
      <c r="G244" s="48" t="s">
        <v>23</v>
      </c>
      <c r="H244" s="48" t="s">
        <v>17</v>
      </c>
      <c r="I244" s="48">
        <v>678</v>
      </c>
      <c r="J244" s="48" t="e" vm="7">
        <v>#VALUE!</v>
      </c>
      <c r="K244" s="48" t="e" cm="1" vm="8">
        <f t="array" aca="1" ref="K244" ca="1">_FV(Table2[[#This Row],[City]],"Country/region",TRUE)</f>
        <v>#VALUE!</v>
      </c>
      <c r="L244" s="48">
        <f>Table2[[#This Row],[Quantity]]*Table2[[#This Row],[Price]]</f>
        <v>2000.1000000000001</v>
      </c>
    </row>
    <row r="245" spans="2:12" x14ac:dyDescent="0.25">
      <c r="B245" s="48">
        <v>10694</v>
      </c>
      <c r="C245" s="62">
        <v>44920</v>
      </c>
      <c r="D245" s="47" t="s">
        <v>13</v>
      </c>
      <c r="E245" s="48">
        <v>4.99</v>
      </c>
      <c r="F245" s="48" t="s">
        <v>14</v>
      </c>
      <c r="G245" s="48" t="s">
        <v>23</v>
      </c>
      <c r="H245" s="48" t="s">
        <v>17</v>
      </c>
      <c r="I245" s="48">
        <v>201</v>
      </c>
      <c r="J245" s="48" t="e" vm="7">
        <v>#VALUE!</v>
      </c>
      <c r="K245" s="48" t="e" cm="1" vm="8">
        <f t="array" aca="1" ref="K245" ca="1">_FV(Table2[[#This Row],[City]],"Country/region",TRUE)</f>
        <v>#VALUE!</v>
      </c>
      <c r="L245" s="48">
        <f>Table2[[#This Row],[Quantity]]*Table2[[#This Row],[Price]]</f>
        <v>1002.99</v>
      </c>
    </row>
    <row r="246" spans="2:12" x14ac:dyDescent="0.25">
      <c r="B246" s="48">
        <v>10695</v>
      </c>
      <c r="C246" s="62">
        <v>44921</v>
      </c>
      <c r="D246" s="47" t="s">
        <v>15</v>
      </c>
      <c r="E246" s="48">
        <v>12.99</v>
      </c>
      <c r="F246" s="48" t="s">
        <v>14</v>
      </c>
      <c r="G246" s="48" t="s">
        <v>23</v>
      </c>
      <c r="H246" s="48" t="s">
        <v>17</v>
      </c>
      <c r="I246" s="48">
        <v>693</v>
      </c>
      <c r="J246" s="48" t="e" vm="7">
        <v>#VALUE!</v>
      </c>
      <c r="K246" s="48" t="e" cm="1" vm="8">
        <f t="array" aca="1" ref="K246" ca="1">_FV(Table2[[#This Row],[City]],"Country/region",TRUE)</f>
        <v>#VALUE!</v>
      </c>
      <c r="L246" s="48">
        <f>Table2[[#This Row],[Quantity]]*Table2[[#This Row],[Price]]</f>
        <v>9002.07</v>
      </c>
    </row>
    <row r="247" spans="2:12" x14ac:dyDescent="0.25">
      <c r="B247" s="48">
        <v>10696</v>
      </c>
      <c r="C247" s="62">
        <v>44921</v>
      </c>
      <c r="D247" s="47" t="s">
        <v>18</v>
      </c>
      <c r="E247" s="48">
        <v>9.9499999999999993</v>
      </c>
      <c r="F247" s="48" t="s">
        <v>14</v>
      </c>
      <c r="G247" s="48" t="s">
        <v>23</v>
      </c>
      <c r="H247" s="48" t="s">
        <v>17</v>
      </c>
      <c r="I247" s="48">
        <v>282</v>
      </c>
      <c r="J247" s="48" t="e" vm="7">
        <v>#VALUE!</v>
      </c>
      <c r="K247" s="48" t="e" cm="1" vm="8">
        <f t="array" aca="1" ref="K247" ca="1">_FV(Table2[[#This Row],[City]],"Country/region",TRUE)</f>
        <v>#VALUE!</v>
      </c>
      <c r="L247" s="48">
        <f>Table2[[#This Row],[Quantity]]*Table2[[#This Row],[Price]]</f>
        <v>2805.8999999999996</v>
      </c>
    </row>
    <row r="248" spans="2:12" x14ac:dyDescent="0.25">
      <c r="B248" s="48">
        <v>10697</v>
      </c>
      <c r="C248" s="62">
        <v>44921</v>
      </c>
      <c r="D248" s="47" t="s">
        <v>9</v>
      </c>
      <c r="E248" s="48">
        <v>3.49</v>
      </c>
      <c r="F248" s="48" t="s">
        <v>14</v>
      </c>
      <c r="G248" s="48" t="s">
        <v>23</v>
      </c>
      <c r="H248" s="48" t="s">
        <v>17</v>
      </c>
      <c r="I248" s="48">
        <v>631</v>
      </c>
      <c r="J248" s="48" t="e" vm="7">
        <v>#VALUE!</v>
      </c>
      <c r="K248" s="48" t="e" cm="1" vm="8">
        <f t="array" aca="1" ref="K248" ca="1">_FV(Table2[[#This Row],[City]],"Country/region",TRUE)</f>
        <v>#VALUE!</v>
      </c>
      <c r="L248" s="48">
        <f>Table2[[#This Row],[Quantity]]*Table2[[#This Row],[Price]]</f>
        <v>2202.19</v>
      </c>
    </row>
    <row r="249" spans="2:12" x14ac:dyDescent="0.25">
      <c r="B249" s="48">
        <v>10698</v>
      </c>
      <c r="C249" s="62">
        <v>44921</v>
      </c>
      <c r="D249" s="47" t="s">
        <v>12</v>
      </c>
      <c r="E249" s="48">
        <v>2.95</v>
      </c>
      <c r="F249" s="48" t="s">
        <v>14</v>
      </c>
      <c r="G249" s="48" t="s">
        <v>23</v>
      </c>
      <c r="H249" s="48" t="s">
        <v>17</v>
      </c>
      <c r="I249" s="48">
        <v>678</v>
      </c>
      <c r="J249" s="48" t="e" vm="7">
        <v>#VALUE!</v>
      </c>
      <c r="K249" s="48" t="e" cm="1" vm="8">
        <f t="array" aca="1" ref="K249" ca="1">_FV(Table2[[#This Row],[City]],"Country/region",TRUE)</f>
        <v>#VALUE!</v>
      </c>
      <c r="L249" s="48">
        <f>Table2[[#This Row],[Quantity]]*Table2[[#This Row],[Price]]</f>
        <v>2000.1000000000001</v>
      </c>
    </row>
    <row r="250" spans="2:12" x14ac:dyDescent="0.25">
      <c r="B250" s="48">
        <v>10699</v>
      </c>
      <c r="C250" s="62">
        <v>44921</v>
      </c>
      <c r="D250" s="47" t="s">
        <v>13</v>
      </c>
      <c r="E250" s="48">
        <v>4.99</v>
      </c>
      <c r="F250" s="48" t="s">
        <v>14</v>
      </c>
      <c r="G250" s="48" t="s">
        <v>23</v>
      </c>
      <c r="H250" s="48" t="s">
        <v>17</v>
      </c>
      <c r="I250" s="48">
        <v>201</v>
      </c>
      <c r="J250" s="48" t="e" vm="7">
        <v>#VALUE!</v>
      </c>
      <c r="K250" s="48" t="e" cm="1" vm="8">
        <f t="array" aca="1" ref="K250" ca="1">_FV(Table2[[#This Row],[City]],"Country/region",TRUE)</f>
        <v>#VALUE!</v>
      </c>
      <c r="L250" s="48">
        <f>Table2[[#This Row],[Quantity]]*Table2[[#This Row],[Price]]</f>
        <v>1002.99</v>
      </c>
    </row>
    <row r="251" spans="2:12" x14ac:dyDescent="0.25">
      <c r="B251" s="48">
        <v>10700</v>
      </c>
      <c r="C251" s="62">
        <v>44922</v>
      </c>
      <c r="D251" s="47" t="s">
        <v>15</v>
      </c>
      <c r="E251" s="48">
        <v>12.99</v>
      </c>
      <c r="F251" s="48" t="s">
        <v>14</v>
      </c>
      <c r="G251" s="48" t="s">
        <v>23</v>
      </c>
      <c r="H251" s="48" t="s">
        <v>17</v>
      </c>
      <c r="I251" s="48">
        <v>693</v>
      </c>
      <c r="J251" s="48" t="e" vm="7">
        <v>#VALUE!</v>
      </c>
      <c r="K251" s="48" t="e" cm="1" vm="8">
        <f t="array" aca="1" ref="K251" ca="1">_FV(Table2[[#This Row],[City]],"Country/region",TRUE)</f>
        <v>#VALUE!</v>
      </c>
      <c r="L251" s="48">
        <f>Table2[[#This Row],[Quantity]]*Table2[[#This Row],[Price]]</f>
        <v>9002.07</v>
      </c>
    </row>
    <row r="252" spans="2:12" x14ac:dyDescent="0.25">
      <c r="B252" s="48">
        <v>10701</v>
      </c>
      <c r="C252" s="62">
        <v>44922</v>
      </c>
      <c r="D252" s="47" t="s">
        <v>18</v>
      </c>
      <c r="E252" s="48">
        <v>9.9499999999999993</v>
      </c>
      <c r="F252" s="48" t="s">
        <v>14</v>
      </c>
      <c r="G252" s="48" t="s">
        <v>23</v>
      </c>
      <c r="H252" s="48" t="s">
        <v>17</v>
      </c>
      <c r="I252" s="48">
        <v>282</v>
      </c>
      <c r="J252" s="48" t="e" vm="7">
        <v>#VALUE!</v>
      </c>
      <c r="K252" s="48" t="e" cm="1" vm="8">
        <f t="array" aca="1" ref="K252" ca="1">_FV(Table2[[#This Row],[City]],"Country/region",TRUE)</f>
        <v>#VALUE!</v>
      </c>
      <c r="L252" s="48">
        <f>Table2[[#This Row],[Quantity]]*Table2[[#This Row],[Price]]</f>
        <v>2805.8999999999996</v>
      </c>
    </row>
    <row r="253" spans="2:12" x14ac:dyDescent="0.25">
      <c r="B253" s="48">
        <v>10702</v>
      </c>
      <c r="C253" s="62">
        <v>44922</v>
      </c>
      <c r="D253" s="47" t="s">
        <v>9</v>
      </c>
      <c r="E253" s="48">
        <v>3.49</v>
      </c>
      <c r="F253" s="48" t="s">
        <v>14</v>
      </c>
      <c r="G253" s="48" t="s">
        <v>23</v>
      </c>
      <c r="H253" s="48" t="s">
        <v>17</v>
      </c>
      <c r="I253" s="48">
        <v>631</v>
      </c>
      <c r="J253" s="48" t="e" vm="7">
        <v>#VALUE!</v>
      </c>
      <c r="K253" s="48" t="e" cm="1" vm="8">
        <f t="array" aca="1" ref="K253" ca="1">_FV(Table2[[#This Row],[City]],"Country/region",TRUE)</f>
        <v>#VALUE!</v>
      </c>
      <c r="L253" s="48">
        <f>Table2[[#This Row],[Quantity]]*Table2[[#This Row],[Price]]</f>
        <v>2202.19</v>
      </c>
    </row>
    <row r="254" spans="2:12" x14ac:dyDescent="0.25">
      <c r="B254" s="48">
        <v>10703</v>
      </c>
      <c r="C254" s="62">
        <v>44922</v>
      </c>
      <c r="D254" s="47" t="s">
        <v>12</v>
      </c>
      <c r="E254" s="48">
        <v>2.95</v>
      </c>
      <c r="F254" s="48" t="s">
        <v>14</v>
      </c>
      <c r="G254" s="48" t="s">
        <v>11</v>
      </c>
      <c r="H254" s="48" t="s">
        <v>17</v>
      </c>
      <c r="I254" s="48">
        <v>678</v>
      </c>
      <c r="J254" s="48" t="e" vm="7">
        <v>#VALUE!</v>
      </c>
      <c r="K254" s="48" t="e" cm="1" vm="8">
        <f t="array" aca="1" ref="K254" ca="1">_FV(Table2[[#This Row],[City]],"Country/region",TRUE)</f>
        <v>#VALUE!</v>
      </c>
      <c r="L254" s="48">
        <f>Table2[[#This Row],[Quantity]]*Table2[[#This Row],[Price]]</f>
        <v>2000.1000000000001</v>
      </c>
    </row>
    <row r="255" spans="2:12" x14ac:dyDescent="0.25">
      <c r="B255" s="48">
        <v>10704</v>
      </c>
      <c r="C255" s="62">
        <v>44922</v>
      </c>
      <c r="D255" s="47" t="s">
        <v>13</v>
      </c>
      <c r="E255" s="48">
        <v>4.99</v>
      </c>
      <c r="F255" s="48" t="s">
        <v>22</v>
      </c>
      <c r="G255" s="48" t="s">
        <v>11</v>
      </c>
      <c r="H255" s="48" t="s">
        <v>17</v>
      </c>
      <c r="I255" s="48">
        <v>201</v>
      </c>
      <c r="J255" s="48" t="e" vm="7">
        <v>#VALUE!</v>
      </c>
      <c r="K255" s="48" t="e" cm="1" vm="8">
        <f t="array" aca="1" ref="K255" ca="1">_FV(Table2[[#This Row],[City]],"Country/region",TRUE)</f>
        <v>#VALUE!</v>
      </c>
      <c r="L255" s="48">
        <f>Table2[[#This Row],[Quantity]]*Table2[[#This Row],[Price]]</f>
        <v>1002.99</v>
      </c>
    </row>
    <row r="256" spans="2:12" x14ac:dyDescent="0.25">
      <c r="B256" s="48">
        <v>10705</v>
      </c>
      <c r="C256" s="62">
        <v>44923</v>
      </c>
      <c r="D256" s="47" t="s">
        <v>15</v>
      </c>
      <c r="E256" s="48">
        <v>12.99</v>
      </c>
      <c r="F256" s="48" t="s">
        <v>22</v>
      </c>
      <c r="G256" s="48" t="s">
        <v>11</v>
      </c>
      <c r="H256" s="48" t="s">
        <v>17</v>
      </c>
      <c r="I256" s="48">
        <v>724</v>
      </c>
      <c r="J256" s="48" t="e" vm="7">
        <v>#VALUE!</v>
      </c>
      <c r="K256" s="48" t="e" cm="1" vm="8">
        <f t="array" aca="1" ref="K256" ca="1">_FV(Table2[[#This Row],[City]],"Country/region",TRUE)</f>
        <v>#VALUE!</v>
      </c>
      <c r="L256" s="48">
        <f>Table2[[#This Row],[Quantity]]*Table2[[#This Row],[Price]]</f>
        <v>9404.76</v>
      </c>
    </row>
    <row r="257" spans="2:12" x14ac:dyDescent="0.25">
      <c r="B257" s="48">
        <v>10706</v>
      </c>
      <c r="C257" s="62">
        <v>44923</v>
      </c>
      <c r="D257" s="47" t="s">
        <v>18</v>
      </c>
      <c r="E257" s="48">
        <v>9.9499999999999993</v>
      </c>
      <c r="F257" s="48" t="s">
        <v>22</v>
      </c>
      <c r="G257" s="48" t="s">
        <v>11</v>
      </c>
      <c r="H257" s="48" t="s">
        <v>17</v>
      </c>
      <c r="I257" s="48">
        <v>302</v>
      </c>
      <c r="J257" s="48" t="e" vm="7">
        <v>#VALUE!</v>
      </c>
      <c r="K257" s="48" t="e" cm="1" vm="8">
        <f t="array" aca="1" ref="K257" ca="1">_FV(Table2[[#This Row],[City]],"Country/region",TRUE)</f>
        <v>#VALUE!</v>
      </c>
      <c r="L257" s="48">
        <f>Table2[[#This Row],[Quantity]]*Table2[[#This Row],[Price]]</f>
        <v>3004.8999999999996</v>
      </c>
    </row>
    <row r="258" spans="2:12" x14ac:dyDescent="0.25">
      <c r="B258" s="48">
        <v>10707</v>
      </c>
      <c r="C258" s="62">
        <v>44923</v>
      </c>
      <c r="D258" s="47" t="s">
        <v>9</v>
      </c>
      <c r="E258" s="48">
        <v>3.49</v>
      </c>
      <c r="F258" s="48" t="s">
        <v>22</v>
      </c>
      <c r="G258" s="48" t="s">
        <v>11</v>
      </c>
      <c r="H258" s="48" t="s">
        <v>17</v>
      </c>
      <c r="I258" s="48">
        <v>631</v>
      </c>
      <c r="J258" s="48" t="e" vm="7">
        <v>#VALUE!</v>
      </c>
      <c r="K258" s="48" t="e" cm="1" vm="8">
        <f t="array" aca="1" ref="K258" ca="1">_FV(Table2[[#This Row],[City]],"Country/region",TRUE)</f>
        <v>#VALUE!</v>
      </c>
      <c r="L258" s="48">
        <f>Table2[[#This Row],[Quantity]]*Table2[[#This Row],[Price]]</f>
        <v>2202.19</v>
      </c>
    </row>
    <row r="259" spans="2:12" x14ac:dyDescent="0.25">
      <c r="B259" s="48">
        <v>10708</v>
      </c>
      <c r="C259" s="62">
        <v>44923</v>
      </c>
      <c r="D259" s="47" t="s">
        <v>12</v>
      </c>
      <c r="E259" s="48">
        <v>2.95</v>
      </c>
      <c r="F259" s="48" t="s">
        <v>22</v>
      </c>
      <c r="G259" s="48" t="s">
        <v>11</v>
      </c>
      <c r="H259" s="48" t="s">
        <v>17</v>
      </c>
      <c r="I259" s="48">
        <v>678</v>
      </c>
      <c r="J259" s="48" t="e" vm="7">
        <v>#VALUE!</v>
      </c>
      <c r="K259" s="48" t="e" cm="1" vm="8">
        <f t="array" aca="1" ref="K259" ca="1">_FV(Table2[[#This Row],[City]],"Country/region",TRUE)</f>
        <v>#VALUE!</v>
      </c>
      <c r="L259" s="48">
        <f>Table2[[#This Row],[Quantity]]*Table2[[#This Row],[Price]]</f>
        <v>2000.1000000000001</v>
      </c>
    </row>
    <row r="260" spans="2:12" x14ac:dyDescent="0.25">
      <c r="B260" s="48">
        <v>10709</v>
      </c>
      <c r="C260" s="62">
        <v>44923</v>
      </c>
      <c r="D260" s="47" t="s">
        <v>13</v>
      </c>
      <c r="E260" s="48">
        <v>4.99</v>
      </c>
      <c r="F260" s="48" t="s">
        <v>22</v>
      </c>
      <c r="G260" s="48" t="s">
        <v>11</v>
      </c>
      <c r="H260" s="48" t="s">
        <v>17</v>
      </c>
      <c r="I260" s="48">
        <v>201</v>
      </c>
      <c r="J260" s="48" t="e" vm="7">
        <v>#VALUE!</v>
      </c>
      <c r="K260" s="48" t="e" cm="1" vm="8">
        <f t="array" aca="1" ref="K260" ca="1">_FV(Table2[[#This Row],[City]],"Country/region",TRUE)</f>
        <v>#VALUE!</v>
      </c>
      <c r="L260" s="48">
        <f>Table2[[#This Row],[Quantity]]*Table2[[#This Row],[Price]]</f>
        <v>1002.99</v>
      </c>
    </row>
    <row r="261" spans="2:12" x14ac:dyDescent="0.25">
      <c r="B261" s="48">
        <v>10710</v>
      </c>
      <c r="C261" s="62">
        <v>44924</v>
      </c>
      <c r="D261" s="47" t="s">
        <v>15</v>
      </c>
      <c r="E261" s="48">
        <v>12.99</v>
      </c>
      <c r="F261" s="48" t="s">
        <v>22</v>
      </c>
      <c r="G261" s="48" t="s">
        <v>11</v>
      </c>
      <c r="H261" s="48" t="s">
        <v>17</v>
      </c>
      <c r="I261" s="48">
        <v>755</v>
      </c>
      <c r="J261" s="48" t="e" vm="7">
        <v>#VALUE!</v>
      </c>
      <c r="K261" s="48" t="e" cm="1" vm="8">
        <f t="array" aca="1" ref="K261" ca="1">_FV(Table2[[#This Row],[City]],"Country/region",TRUE)</f>
        <v>#VALUE!</v>
      </c>
      <c r="L261" s="48">
        <f>Table2[[#This Row],[Quantity]]*Table2[[#This Row],[Price]]</f>
        <v>9807.4500000000007</v>
      </c>
    </row>
    <row r="262" spans="2:12" x14ac:dyDescent="0.25">
      <c r="B262" s="48">
        <v>10711</v>
      </c>
      <c r="C262" s="62">
        <v>44924</v>
      </c>
      <c r="D262" s="47" t="s">
        <v>18</v>
      </c>
      <c r="E262" s="48">
        <v>9.9499999999999993</v>
      </c>
      <c r="F262" s="48" t="s">
        <v>22</v>
      </c>
      <c r="G262" s="48" t="s">
        <v>11</v>
      </c>
      <c r="H262" s="48" t="s">
        <v>17</v>
      </c>
      <c r="I262" s="48">
        <v>282</v>
      </c>
      <c r="J262" s="48" t="e" vm="7">
        <v>#VALUE!</v>
      </c>
      <c r="K262" s="48" t="e" cm="1" vm="8">
        <f t="array" aca="1" ref="K262" ca="1">_FV(Table2[[#This Row],[City]],"Country/region",TRUE)</f>
        <v>#VALUE!</v>
      </c>
      <c r="L262" s="48">
        <f>Table2[[#This Row],[Quantity]]*Table2[[#This Row],[Price]]</f>
        <v>2805.8999999999996</v>
      </c>
    </row>
    <row r="263" spans="2:12" x14ac:dyDescent="0.25">
      <c r="B263" s="48">
        <v>10712</v>
      </c>
      <c r="C263" s="62">
        <v>44924</v>
      </c>
      <c r="D263" s="47" t="s">
        <v>9</v>
      </c>
      <c r="E263" s="48">
        <v>3.49</v>
      </c>
      <c r="F263" s="48" t="s">
        <v>22</v>
      </c>
      <c r="G263" s="48" t="s">
        <v>11</v>
      </c>
      <c r="H263" s="48" t="s">
        <v>17</v>
      </c>
      <c r="I263" s="48">
        <v>631</v>
      </c>
      <c r="J263" s="48" t="e" vm="7">
        <v>#VALUE!</v>
      </c>
      <c r="K263" s="48" t="e" cm="1" vm="8">
        <f t="array" aca="1" ref="K263" ca="1">_FV(Table2[[#This Row],[City]],"Country/region",TRUE)</f>
        <v>#VALUE!</v>
      </c>
      <c r="L263" s="48">
        <f>Table2[[#This Row],[Quantity]]*Table2[[#This Row],[Price]]</f>
        <v>2202.19</v>
      </c>
    </row>
    <row r="264" spans="2:12" x14ac:dyDescent="0.25">
      <c r="B264" s="48">
        <v>10713</v>
      </c>
      <c r="C264" s="62">
        <v>44924</v>
      </c>
      <c r="D264" s="47" t="s">
        <v>12</v>
      </c>
      <c r="E264" s="48">
        <v>2.95</v>
      </c>
      <c r="F264" s="48" t="s">
        <v>22</v>
      </c>
      <c r="G264" s="48" t="s">
        <v>11</v>
      </c>
      <c r="H264" s="48" t="s">
        <v>17</v>
      </c>
      <c r="I264" s="48">
        <v>678</v>
      </c>
      <c r="J264" s="48" t="e" vm="7">
        <v>#VALUE!</v>
      </c>
      <c r="K264" s="48" t="e" cm="1" vm="8">
        <f t="array" aca="1" ref="K264" ca="1">_FV(Table2[[#This Row],[City]],"Country/region",TRUE)</f>
        <v>#VALUE!</v>
      </c>
      <c r="L264" s="48">
        <f>Table2[[#This Row],[Quantity]]*Table2[[#This Row],[Price]]</f>
        <v>2000.1000000000001</v>
      </c>
    </row>
  </sheetData>
  <mergeCells count="9">
    <mergeCell ref="O94:S97"/>
    <mergeCell ref="T3:V5"/>
    <mergeCell ref="O101:S102"/>
    <mergeCell ref="O9:R18"/>
    <mergeCell ref="O20:R27"/>
    <mergeCell ref="O29:R31"/>
    <mergeCell ref="O33:R35"/>
    <mergeCell ref="R39:S52"/>
    <mergeCell ref="O3:R7"/>
  </mergeCells>
  <hyperlinks>
    <hyperlink ref="O101:S102" location="Analysis!A1" display="Going into analysis we need to answer 3 questions" xr:uid="{DF19106C-8F77-42BF-998E-63FF937B830C}"/>
  </hyperlink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election activeCell="O3" sqref="O3"/>
    </sheetView>
  </sheetViews>
  <sheetFormatPr defaultColWidth="10.625" defaultRowHeight="15.75" x14ac:dyDescent="0.25"/>
  <sheetData>
    <row r="2" spans="2:13" x14ac:dyDescent="0.25">
      <c r="B2" s="1" t="s">
        <v>0</v>
      </c>
      <c r="C2" s="1" t="s">
        <v>1</v>
      </c>
      <c r="D2" s="1" t="s">
        <v>2</v>
      </c>
      <c r="E2" s="2" t="s">
        <v>3</v>
      </c>
      <c r="F2" s="1" t="s">
        <v>4</v>
      </c>
      <c r="G2" s="2" t="s">
        <v>34</v>
      </c>
      <c r="H2" s="1" t="s">
        <v>8</v>
      </c>
      <c r="I2" s="1" t="s">
        <v>31</v>
      </c>
      <c r="J2" s="1" t="s">
        <v>5</v>
      </c>
      <c r="K2" s="1" t="s">
        <v>6</v>
      </c>
      <c r="L2" s="1" t="s">
        <v>7</v>
      </c>
      <c r="M2" s="1" t="s">
        <v>32</v>
      </c>
    </row>
    <row r="3" spans="2:13" x14ac:dyDescent="0.25">
      <c r="B3" s="3">
        <v>10452</v>
      </c>
      <c r="C3" s="4">
        <v>44872</v>
      </c>
      <c r="D3" t="s">
        <v>9</v>
      </c>
      <c r="E3" s="3">
        <v>3.49</v>
      </c>
      <c r="F3" s="19">
        <v>574</v>
      </c>
      <c r="G3" s="3">
        <v>0.88</v>
      </c>
      <c r="H3" t="e" vm="1">
        <v>#VALUE!</v>
      </c>
      <c r="I3" t="e" cm="1" vm="2">
        <f t="array" aca="1" ref="I3" ca="1">_FV(H3,"Country/region",TRUE)</f>
        <v>#VALUE!</v>
      </c>
      <c r="J3" t="s">
        <v>10</v>
      </c>
      <c r="K3" t="s">
        <v>11</v>
      </c>
      <c r="L3" t="s">
        <v>24</v>
      </c>
      <c r="M3">
        <f>Table1[[#This Row],[Price]]*Table1[[#This Row],[Quantity]]</f>
        <v>2003.2600000000002</v>
      </c>
    </row>
    <row r="4" spans="2:13" x14ac:dyDescent="0.25">
      <c r="B4" s="3">
        <v>10453</v>
      </c>
      <c r="C4" s="4">
        <v>44872</v>
      </c>
      <c r="D4" t="s">
        <v>12</v>
      </c>
      <c r="E4" s="3">
        <v>2.95</v>
      </c>
      <c r="F4" s="19">
        <v>746</v>
      </c>
      <c r="G4" s="3">
        <v>0.47</v>
      </c>
      <c r="H4" t="e" vm="3">
        <v>#VALUE!</v>
      </c>
      <c r="I4" t="e" cm="1" vm="4">
        <f t="array" aca="1" ref="I4" ca="1">_FV(H4,"Country/region",TRUE)</f>
        <v>#VALUE!</v>
      </c>
      <c r="J4" t="s">
        <v>10</v>
      </c>
      <c r="K4" t="s">
        <v>11</v>
      </c>
      <c r="L4" t="s">
        <v>20</v>
      </c>
      <c r="M4">
        <f>Table1[[#This Row],[Price]]*Table1[[#This Row],[Quantity]]</f>
        <v>2200.7000000000003</v>
      </c>
    </row>
    <row r="5" spans="2:13" x14ac:dyDescent="0.25">
      <c r="B5" s="3">
        <v>10454</v>
      </c>
      <c r="C5" s="4">
        <v>44872</v>
      </c>
      <c r="D5" t="s">
        <v>13</v>
      </c>
      <c r="E5" s="3">
        <v>4.99</v>
      </c>
      <c r="F5" s="19">
        <v>201</v>
      </c>
      <c r="G5" s="3">
        <v>2.25</v>
      </c>
      <c r="H5" t="e" vm="5">
        <v>#VALUE!</v>
      </c>
      <c r="I5" t="e" cm="1" vm="6">
        <f t="array" aca="1" ref="I5" ca="1">_FV(H5,"Country/region",TRUE)</f>
        <v>#VALUE!</v>
      </c>
      <c r="J5" t="s">
        <v>14</v>
      </c>
      <c r="K5" t="s">
        <v>11</v>
      </c>
      <c r="L5" t="s">
        <v>21</v>
      </c>
      <c r="M5">
        <f>Table1[[#This Row],[Price]]*Table1[[#This Row],[Quantity]]</f>
        <v>1002.99</v>
      </c>
    </row>
    <row r="6" spans="2:13" x14ac:dyDescent="0.25">
      <c r="B6" s="3">
        <v>10455</v>
      </c>
      <c r="C6" s="4">
        <v>44873</v>
      </c>
      <c r="D6" t="s">
        <v>15</v>
      </c>
      <c r="E6" s="3">
        <v>12.99</v>
      </c>
      <c r="F6" s="19">
        <v>570</v>
      </c>
      <c r="G6" s="3">
        <v>4.32</v>
      </c>
      <c r="H6" t="e" vm="7">
        <v>#VALUE!</v>
      </c>
      <c r="I6" t="e" cm="1" vm="8">
        <f t="array" aca="1" ref="I6" ca="1">_FV(H6,"Country/region",TRUE)</f>
        <v>#VALUE!</v>
      </c>
      <c r="J6" t="s">
        <v>14</v>
      </c>
      <c r="K6" t="s">
        <v>16</v>
      </c>
      <c r="L6" t="s">
        <v>17</v>
      </c>
      <c r="M6">
        <f>Table1[[#This Row],[Price]]*Table1[[#This Row],[Quantity]]</f>
        <v>7404.3</v>
      </c>
    </row>
    <row r="7" spans="2:13" x14ac:dyDescent="0.25">
      <c r="B7" s="3">
        <v>10456</v>
      </c>
      <c r="C7" s="4">
        <v>44873</v>
      </c>
      <c r="D7" t="s">
        <v>18</v>
      </c>
      <c r="E7" s="3">
        <v>9.9499999999999993</v>
      </c>
      <c r="F7" s="19">
        <v>202</v>
      </c>
      <c r="G7" s="3">
        <v>2.85</v>
      </c>
      <c r="H7" t="e" vm="7">
        <v>#VALUE!</v>
      </c>
      <c r="I7" t="e" cm="1" vm="8">
        <f t="array" aca="1" ref="I7" ca="1">_FV(H7,"Country/region",TRUE)</f>
        <v>#VALUE!</v>
      </c>
      <c r="J7" t="s">
        <v>14</v>
      </c>
      <c r="K7" t="s">
        <v>16</v>
      </c>
      <c r="L7" t="s">
        <v>17</v>
      </c>
      <c r="M7">
        <f>Table1[[#This Row],[Price]]*Table1[[#This Row],[Quantity]]</f>
        <v>2009.8999999999999</v>
      </c>
    </row>
    <row r="8" spans="2:13" x14ac:dyDescent="0.25">
      <c r="B8" s="3">
        <v>10457</v>
      </c>
      <c r="C8" s="4">
        <v>44873</v>
      </c>
      <c r="D8" t="s">
        <v>9</v>
      </c>
      <c r="E8" s="3">
        <v>3.49</v>
      </c>
      <c r="F8" s="19">
        <v>574</v>
      </c>
      <c r="G8" s="3">
        <v>0.88</v>
      </c>
      <c r="H8" t="e" vm="9">
        <v>#VALUE!</v>
      </c>
      <c r="I8" t="e" cm="1" vm="10">
        <f t="array" aca="1" ref="I8" ca="1">_FV(H8,"Country/region",TRUE)</f>
        <v>#VALUE!</v>
      </c>
      <c r="J8" t="s">
        <v>14</v>
      </c>
      <c r="K8" t="s">
        <v>16</v>
      </c>
      <c r="L8" t="s">
        <v>19</v>
      </c>
      <c r="M8">
        <f>Table1[[#This Row],[Price]]*Table1[[#This Row],[Quantity]]</f>
        <v>2003.2600000000002</v>
      </c>
    </row>
    <row r="9" spans="2:13" x14ac:dyDescent="0.25">
      <c r="B9" s="3">
        <v>10459</v>
      </c>
      <c r="C9" s="4">
        <v>44873</v>
      </c>
      <c r="D9" t="s">
        <v>13</v>
      </c>
      <c r="E9" s="3">
        <v>4.99</v>
      </c>
      <c r="F9" s="19">
        <v>201</v>
      </c>
      <c r="G9" s="3">
        <v>2.25</v>
      </c>
      <c r="H9" t="e" vm="9">
        <v>#VALUE!</v>
      </c>
      <c r="I9" t="e" cm="1" vm="10">
        <f t="array" aca="1" ref="I9" ca="1">_FV(H9,"Country/region",TRUE)</f>
        <v>#VALUE!</v>
      </c>
      <c r="J9" t="s">
        <v>14</v>
      </c>
      <c r="K9" t="s">
        <v>16</v>
      </c>
      <c r="L9" t="s">
        <v>19</v>
      </c>
      <c r="M9">
        <f>Table1[[#This Row],[Price]]*Table1[[#This Row],[Quantity]]</f>
        <v>1002.99</v>
      </c>
    </row>
    <row r="10" spans="2:13" x14ac:dyDescent="0.25">
      <c r="B10" s="3">
        <v>10460</v>
      </c>
      <c r="C10" s="4">
        <v>44874</v>
      </c>
      <c r="D10" t="s">
        <v>15</v>
      </c>
      <c r="E10" s="3">
        <v>12.99</v>
      </c>
      <c r="F10" s="19">
        <v>555</v>
      </c>
      <c r="G10" s="3">
        <v>4.32</v>
      </c>
      <c r="H10" t="e" vm="7">
        <v>#VALUE!</v>
      </c>
      <c r="I10" t="e" cm="1" vm="8">
        <f t="array" aca="1" ref="I10" ca="1">_FV(H10,"Country/region",TRUE)</f>
        <v>#VALUE!</v>
      </c>
      <c r="J10" t="s">
        <v>14</v>
      </c>
      <c r="K10" t="s">
        <v>16</v>
      </c>
      <c r="L10" t="s">
        <v>17</v>
      </c>
      <c r="M10">
        <f>Table1[[#This Row],[Price]]*Table1[[#This Row],[Quantity]]</f>
        <v>7209.45</v>
      </c>
    </row>
    <row r="11" spans="2:13" x14ac:dyDescent="0.25">
      <c r="B11" s="3">
        <v>10461</v>
      </c>
      <c r="C11" s="4">
        <v>44874</v>
      </c>
      <c r="D11" t="s">
        <v>18</v>
      </c>
      <c r="E11" s="3">
        <v>9.9499999999999993</v>
      </c>
      <c r="F11" s="19">
        <v>202</v>
      </c>
      <c r="G11" s="3">
        <v>2.85</v>
      </c>
      <c r="H11" t="e" vm="9">
        <v>#VALUE!</v>
      </c>
      <c r="I11" t="e" cm="1" vm="10">
        <f t="array" aca="1" ref="I11" ca="1">_FV(H11,"Country/region",TRUE)</f>
        <v>#VALUE!</v>
      </c>
      <c r="J11" t="s">
        <v>14</v>
      </c>
      <c r="K11" t="s">
        <v>16</v>
      </c>
      <c r="L11" t="s">
        <v>19</v>
      </c>
      <c r="M11">
        <f>Table1[[#This Row],[Price]]*Table1[[#This Row],[Quantity]]</f>
        <v>2009.8999999999999</v>
      </c>
    </row>
    <row r="12" spans="2:13" x14ac:dyDescent="0.25">
      <c r="B12" s="3">
        <v>10462</v>
      </c>
      <c r="C12" s="4">
        <v>44874</v>
      </c>
      <c r="D12" t="s">
        <v>9</v>
      </c>
      <c r="E12" s="3">
        <v>3.49</v>
      </c>
      <c r="F12" s="19">
        <v>574</v>
      </c>
      <c r="G12" s="3">
        <v>0.88</v>
      </c>
      <c r="H12" t="e" vm="9">
        <v>#VALUE!</v>
      </c>
      <c r="I12" t="e" cm="1" vm="10">
        <f t="array" aca="1" ref="I12" ca="1">_FV(H12,"Country/region",TRUE)</f>
        <v>#VALUE!</v>
      </c>
      <c r="J12" t="s">
        <v>14</v>
      </c>
      <c r="K12" t="s">
        <v>16</v>
      </c>
      <c r="L12" t="s">
        <v>19</v>
      </c>
      <c r="M12">
        <f>Table1[[#This Row],[Price]]*Table1[[#This Row],[Quantity]]</f>
        <v>2003.2600000000002</v>
      </c>
    </row>
    <row r="13" spans="2:13" x14ac:dyDescent="0.25">
      <c r="B13" s="3">
        <v>10463</v>
      </c>
      <c r="C13" s="4">
        <v>44874</v>
      </c>
      <c r="D13" t="s">
        <v>12</v>
      </c>
      <c r="E13" s="3">
        <v>2.95</v>
      </c>
      <c r="F13" s="19">
        <v>678</v>
      </c>
      <c r="G13" s="3">
        <v>0.47</v>
      </c>
      <c r="H13" t="e" vm="9">
        <v>#VALUE!</v>
      </c>
      <c r="I13" t="e" cm="1" vm="10">
        <f t="array" aca="1" ref="I13" ca="1">_FV(H13,"Country/region",TRUE)</f>
        <v>#VALUE!</v>
      </c>
      <c r="J13" t="s">
        <v>14</v>
      </c>
      <c r="K13" t="s">
        <v>16</v>
      </c>
      <c r="L13" t="s">
        <v>19</v>
      </c>
      <c r="M13">
        <f>Table1[[#This Row],[Price]]*Table1[[#This Row],[Quantity]]</f>
        <v>2000.1000000000001</v>
      </c>
    </row>
    <row r="14" spans="2:13" x14ac:dyDescent="0.25">
      <c r="B14" s="3">
        <v>10464</v>
      </c>
      <c r="C14" s="4">
        <v>44874</v>
      </c>
      <c r="D14" t="s">
        <v>13</v>
      </c>
      <c r="E14" s="3">
        <v>4.99</v>
      </c>
      <c r="F14" s="19">
        <v>201</v>
      </c>
      <c r="G14" s="3">
        <v>2.25</v>
      </c>
      <c r="H14" t="e" vm="9">
        <v>#VALUE!</v>
      </c>
      <c r="I14" t="e" cm="1" vm="10">
        <f t="array" aca="1" ref="I14" ca="1">_FV(H14,"Country/region",TRUE)</f>
        <v>#VALUE!</v>
      </c>
      <c r="J14" t="s">
        <v>14</v>
      </c>
      <c r="K14" t="s">
        <v>16</v>
      </c>
      <c r="L14" t="s">
        <v>19</v>
      </c>
      <c r="M14">
        <f>Table1[[#This Row],[Price]]*Table1[[#This Row],[Quantity]]</f>
        <v>1002.99</v>
      </c>
    </row>
    <row r="15" spans="2:13" x14ac:dyDescent="0.25">
      <c r="B15" s="3">
        <v>10465</v>
      </c>
      <c r="C15" s="4">
        <v>44875</v>
      </c>
      <c r="D15" t="s">
        <v>15</v>
      </c>
      <c r="E15" s="3">
        <v>12.99</v>
      </c>
      <c r="F15" s="19">
        <v>555</v>
      </c>
      <c r="G15" s="3">
        <v>4.32</v>
      </c>
      <c r="H15" t="e" vm="3">
        <v>#VALUE!</v>
      </c>
      <c r="I15" t="e" cm="1" vm="4">
        <f t="array" aca="1" ref="I15" ca="1">_FV(H15,"Country/region",TRUE)</f>
        <v>#VALUE!</v>
      </c>
      <c r="J15" t="s">
        <v>14</v>
      </c>
      <c r="K15" t="s">
        <v>16</v>
      </c>
      <c r="L15" t="s">
        <v>20</v>
      </c>
      <c r="M15">
        <f>Table1[[#This Row],[Price]]*Table1[[#This Row],[Quantity]]</f>
        <v>7209.45</v>
      </c>
    </row>
    <row r="16" spans="2:13" x14ac:dyDescent="0.25">
      <c r="B16" s="3">
        <v>10466</v>
      </c>
      <c r="C16" s="4">
        <v>44875</v>
      </c>
      <c r="D16" t="s">
        <v>18</v>
      </c>
      <c r="E16" s="3">
        <v>9.9499999999999993</v>
      </c>
      <c r="F16" s="19">
        <v>202</v>
      </c>
      <c r="G16" s="3">
        <v>2.85</v>
      </c>
      <c r="H16" t="e" vm="3">
        <v>#VALUE!</v>
      </c>
      <c r="I16" t="e" cm="1" vm="4">
        <f t="array" aca="1" ref="I16" ca="1">_FV(H16,"Country/region",TRUE)</f>
        <v>#VALUE!</v>
      </c>
      <c r="J16" t="s">
        <v>14</v>
      </c>
      <c r="K16" t="s">
        <v>16</v>
      </c>
      <c r="L16" t="s">
        <v>20</v>
      </c>
      <c r="M16">
        <f>Table1[[#This Row],[Price]]*Table1[[#This Row],[Quantity]]</f>
        <v>2009.8999999999999</v>
      </c>
    </row>
    <row r="17" spans="2:13" x14ac:dyDescent="0.25">
      <c r="B17" s="3">
        <v>10467</v>
      </c>
      <c r="C17" s="4">
        <v>44875</v>
      </c>
      <c r="D17" t="s">
        <v>9</v>
      </c>
      <c r="E17" s="3">
        <v>3.49</v>
      </c>
      <c r="F17" s="19">
        <v>574</v>
      </c>
      <c r="G17" s="3">
        <v>0.88</v>
      </c>
      <c r="H17" t="e" vm="3">
        <v>#VALUE!</v>
      </c>
      <c r="I17" t="e" cm="1" vm="4">
        <f t="array" aca="1" ref="I17" ca="1">_FV(H17,"Country/region",TRUE)</f>
        <v>#VALUE!</v>
      </c>
      <c r="J17" t="s">
        <v>14</v>
      </c>
      <c r="K17" t="s">
        <v>16</v>
      </c>
      <c r="L17" t="s">
        <v>20</v>
      </c>
      <c r="M17">
        <f>Table1[[#This Row],[Price]]*Table1[[#This Row],[Quantity]]</f>
        <v>2003.2600000000002</v>
      </c>
    </row>
    <row r="18" spans="2:13" x14ac:dyDescent="0.25">
      <c r="B18" s="3">
        <v>10468</v>
      </c>
      <c r="C18" s="4">
        <v>44875</v>
      </c>
      <c r="D18" t="s">
        <v>12</v>
      </c>
      <c r="E18" s="3">
        <v>2.95</v>
      </c>
      <c r="F18" s="19">
        <v>678</v>
      </c>
      <c r="G18" s="3">
        <v>0.47</v>
      </c>
      <c r="H18" t="e" vm="3">
        <v>#VALUE!</v>
      </c>
      <c r="I18" t="e" cm="1" vm="4">
        <f t="array" aca="1" ref="I18" ca="1">_FV(H18,"Country/region",TRUE)</f>
        <v>#VALUE!</v>
      </c>
      <c r="J18" t="s">
        <v>14</v>
      </c>
      <c r="K18" t="s">
        <v>16</v>
      </c>
      <c r="L18" t="s">
        <v>20</v>
      </c>
      <c r="M18">
        <f>Table1[[#This Row],[Price]]*Table1[[#This Row],[Quantity]]</f>
        <v>2000.1000000000001</v>
      </c>
    </row>
    <row r="19" spans="2:13" x14ac:dyDescent="0.25">
      <c r="B19" s="3">
        <v>10470</v>
      </c>
      <c r="C19" s="4">
        <v>44876</v>
      </c>
      <c r="D19" t="s">
        <v>15</v>
      </c>
      <c r="E19" s="3">
        <v>12.99</v>
      </c>
      <c r="F19" s="19">
        <v>555</v>
      </c>
      <c r="G19" s="3">
        <v>4.32</v>
      </c>
      <c r="H19" t="e" vm="3">
        <v>#VALUE!</v>
      </c>
      <c r="I19" t="e" cm="1" vm="4">
        <f t="array" aca="1" ref="I19" ca="1">_FV(H19,"Country/region",TRUE)</f>
        <v>#VALUE!</v>
      </c>
      <c r="J19" t="s">
        <v>14</v>
      </c>
      <c r="K19" t="s">
        <v>16</v>
      </c>
      <c r="L19" t="s">
        <v>20</v>
      </c>
      <c r="M19">
        <f>Table1[[#This Row],[Price]]*Table1[[#This Row],[Quantity]]</f>
        <v>7209.45</v>
      </c>
    </row>
    <row r="20" spans="2:13" x14ac:dyDescent="0.25">
      <c r="B20" s="3">
        <v>10471</v>
      </c>
      <c r="C20" s="4">
        <v>44876</v>
      </c>
      <c r="D20" t="s">
        <v>18</v>
      </c>
      <c r="E20" s="3">
        <v>9.9499999999999993</v>
      </c>
      <c r="F20" s="19">
        <v>202</v>
      </c>
      <c r="G20" s="3">
        <v>2.85</v>
      </c>
      <c r="H20" t="e" vm="3">
        <v>#VALUE!</v>
      </c>
      <c r="I20" t="e" cm="1" vm="4">
        <f t="array" aca="1" ref="I20" ca="1">_FV(H20,"Country/region",TRUE)</f>
        <v>#VALUE!</v>
      </c>
      <c r="J20" t="s">
        <v>14</v>
      </c>
      <c r="K20" t="s">
        <v>16</v>
      </c>
      <c r="L20" t="s">
        <v>20</v>
      </c>
      <c r="M20">
        <f>Table1[[#This Row],[Price]]*Table1[[#This Row],[Quantity]]</f>
        <v>2009.8999999999999</v>
      </c>
    </row>
    <row r="21" spans="2:13" x14ac:dyDescent="0.25">
      <c r="B21" s="3">
        <v>10472</v>
      </c>
      <c r="C21" s="4">
        <v>44876</v>
      </c>
      <c r="D21" t="s">
        <v>9</v>
      </c>
      <c r="E21" s="3">
        <v>3.49</v>
      </c>
      <c r="F21" s="19">
        <v>631</v>
      </c>
      <c r="G21" s="3">
        <v>0.88</v>
      </c>
      <c r="H21" t="e" vm="3">
        <v>#VALUE!</v>
      </c>
      <c r="I21" t="e" cm="1" vm="4">
        <f t="array" aca="1" ref="I21" ca="1">_FV(H21,"Country/region",TRUE)</f>
        <v>#VALUE!</v>
      </c>
      <c r="J21" t="s">
        <v>14</v>
      </c>
      <c r="K21" t="s">
        <v>16</v>
      </c>
      <c r="L21" t="s">
        <v>20</v>
      </c>
      <c r="M21">
        <f>Table1[[#This Row],[Price]]*Table1[[#This Row],[Quantity]]</f>
        <v>2202.19</v>
      </c>
    </row>
    <row r="22" spans="2:13" x14ac:dyDescent="0.25">
      <c r="B22" s="3">
        <v>10473</v>
      </c>
      <c r="C22" s="4">
        <v>44876</v>
      </c>
      <c r="D22" t="s">
        <v>12</v>
      </c>
      <c r="E22" s="3">
        <v>2.95</v>
      </c>
      <c r="F22" s="19">
        <v>678</v>
      </c>
      <c r="G22" s="3">
        <v>0.47</v>
      </c>
      <c r="H22" t="e" vm="3">
        <v>#VALUE!</v>
      </c>
      <c r="I22" t="e" cm="1" vm="4">
        <f t="array" aca="1" ref="I22" ca="1">_FV(H22,"Country/region",TRUE)</f>
        <v>#VALUE!</v>
      </c>
      <c r="J22" t="s">
        <v>14</v>
      </c>
      <c r="K22" t="s">
        <v>16</v>
      </c>
      <c r="L22" t="s">
        <v>20</v>
      </c>
      <c r="M22">
        <f>Table1[[#This Row],[Price]]*Table1[[#This Row],[Quantity]]</f>
        <v>2000.1000000000001</v>
      </c>
    </row>
    <row r="23" spans="2:13" x14ac:dyDescent="0.25">
      <c r="B23" s="3">
        <v>10474</v>
      </c>
      <c r="C23" s="4">
        <v>44876</v>
      </c>
      <c r="D23" t="s">
        <v>13</v>
      </c>
      <c r="E23" s="3">
        <v>4.99</v>
      </c>
      <c r="F23" s="19">
        <v>201</v>
      </c>
      <c r="G23" s="3">
        <v>2.25</v>
      </c>
      <c r="H23" t="e" vm="3">
        <v>#VALUE!</v>
      </c>
      <c r="I23" t="e" cm="1" vm="4">
        <f t="array" aca="1" ref="I23" ca="1">_FV(H23,"Country/region",TRUE)</f>
        <v>#VALUE!</v>
      </c>
      <c r="J23" t="s">
        <v>14</v>
      </c>
      <c r="K23" t="s">
        <v>16</v>
      </c>
      <c r="L23" t="s">
        <v>20</v>
      </c>
      <c r="M23">
        <f>Table1[[#This Row],[Price]]*Table1[[#This Row],[Quantity]]</f>
        <v>1002.99</v>
      </c>
    </row>
    <row r="24" spans="2:13" x14ac:dyDescent="0.25">
      <c r="B24" s="3">
        <v>10475</v>
      </c>
      <c r="C24" s="4">
        <v>44877</v>
      </c>
      <c r="D24" t="s">
        <v>15</v>
      </c>
      <c r="E24" s="3">
        <v>12.99</v>
      </c>
      <c r="F24" s="19">
        <v>524</v>
      </c>
      <c r="G24" s="3">
        <v>4.32</v>
      </c>
      <c r="H24" t="e" vm="3">
        <v>#VALUE!</v>
      </c>
      <c r="I24" t="e" cm="1" vm="4">
        <f t="array" aca="1" ref="I24" ca="1">_FV(H24,"Country/region",TRUE)</f>
        <v>#VALUE!</v>
      </c>
      <c r="J24" t="s">
        <v>14</v>
      </c>
      <c r="K24" t="s">
        <v>16</v>
      </c>
      <c r="L24" t="s">
        <v>20</v>
      </c>
      <c r="M24">
        <f>Table1[[#This Row],[Price]]*Table1[[#This Row],[Quantity]]</f>
        <v>6806.76</v>
      </c>
    </row>
    <row r="25" spans="2:13" x14ac:dyDescent="0.25">
      <c r="B25" s="3">
        <v>10476</v>
      </c>
      <c r="C25" s="4">
        <v>44877</v>
      </c>
      <c r="D25" t="s">
        <v>18</v>
      </c>
      <c r="E25" s="3">
        <v>9.9499999999999993</v>
      </c>
      <c r="F25" s="19">
        <v>202</v>
      </c>
      <c r="G25" s="3">
        <v>2.85</v>
      </c>
      <c r="H25" t="e" vm="3">
        <v>#VALUE!</v>
      </c>
      <c r="I25" t="e" cm="1" vm="4">
        <f t="array" aca="1" ref="I25" ca="1">_FV(H25,"Country/region",TRUE)</f>
        <v>#VALUE!</v>
      </c>
      <c r="J25" t="s">
        <v>14</v>
      </c>
      <c r="K25" t="s">
        <v>16</v>
      </c>
      <c r="L25" t="s">
        <v>20</v>
      </c>
      <c r="M25">
        <f>Table1[[#This Row],[Price]]*Table1[[#This Row],[Quantity]]</f>
        <v>2009.8999999999999</v>
      </c>
    </row>
    <row r="26" spans="2:13" x14ac:dyDescent="0.25">
      <c r="B26" s="3">
        <v>10477</v>
      </c>
      <c r="C26" s="4">
        <v>44877</v>
      </c>
      <c r="D26" t="s">
        <v>9</v>
      </c>
      <c r="E26" s="3">
        <v>3.49</v>
      </c>
      <c r="F26" s="19">
        <v>631</v>
      </c>
      <c r="G26" s="3">
        <v>0.88</v>
      </c>
      <c r="H26" t="e" vm="3">
        <v>#VALUE!</v>
      </c>
      <c r="I26" t="e" cm="1" vm="4">
        <f t="array" aca="1" ref="I26" ca="1">_FV(H26,"Country/region",TRUE)</f>
        <v>#VALUE!</v>
      </c>
      <c r="J26" t="s">
        <v>14</v>
      </c>
      <c r="K26" t="s">
        <v>16</v>
      </c>
      <c r="L26" t="s">
        <v>20</v>
      </c>
      <c r="M26">
        <f>Table1[[#This Row],[Price]]*Table1[[#This Row],[Quantity]]</f>
        <v>2202.19</v>
      </c>
    </row>
    <row r="27" spans="2:13" x14ac:dyDescent="0.25">
      <c r="B27" s="3">
        <v>10478</v>
      </c>
      <c r="C27" s="4">
        <v>44877</v>
      </c>
      <c r="D27" t="s">
        <v>12</v>
      </c>
      <c r="E27" s="3">
        <v>2.95</v>
      </c>
      <c r="F27" s="19">
        <v>678</v>
      </c>
      <c r="G27" s="3">
        <v>0.47</v>
      </c>
      <c r="H27" t="e" vm="3">
        <v>#VALUE!</v>
      </c>
      <c r="I27" t="e" cm="1" vm="4">
        <f t="array" aca="1" ref="I27" ca="1">_FV(H27,"Country/region",TRUE)</f>
        <v>#VALUE!</v>
      </c>
      <c r="J27" t="s">
        <v>14</v>
      </c>
      <c r="K27" t="s">
        <v>16</v>
      </c>
      <c r="L27" t="s">
        <v>20</v>
      </c>
      <c r="M27">
        <f>Table1[[#This Row],[Price]]*Table1[[#This Row],[Quantity]]</f>
        <v>2000.1000000000001</v>
      </c>
    </row>
    <row r="28" spans="2:13" x14ac:dyDescent="0.25">
      <c r="B28" s="3">
        <v>10479</v>
      </c>
      <c r="C28" s="4">
        <v>44877</v>
      </c>
      <c r="D28" t="s">
        <v>13</v>
      </c>
      <c r="E28" s="3">
        <v>4.99</v>
      </c>
      <c r="F28" s="19">
        <v>201</v>
      </c>
      <c r="G28" s="3">
        <v>2.25</v>
      </c>
      <c r="H28" t="e" vm="3">
        <v>#VALUE!</v>
      </c>
      <c r="I28" t="e" cm="1" vm="4">
        <f t="array" aca="1" ref="I28" ca="1">_FV(H28,"Country/region",TRUE)</f>
        <v>#VALUE!</v>
      </c>
      <c r="J28" t="s">
        <v>14</v>
      </c>
      <c r="K28" t="s">
        <v>16</v>
      </c>
      <c r="L28" t="s">
        <v>20</v>
      </c>
      <c r="M28">
        <f>Table1[[#This Row],[Price]]*Table1[[#This Row],[Quantity]]</f>
        <v>1002.99</v>
      </c>
    </row>
    <row r="29" spans="2:13" x14ac:dyDescent="0.25">
      <c r="B29" s="3">
        <v>10480</v>
      </c>
      <c r="C29" s="4">
        <v>44878</v>
      </c>
      <c r="D29" t="s">
        <v>15</v>
      </c>
      <c r="E29" s="3">
        <v>12.99</v>
      </c>
      <c r="F29" s="19">
        <v>509</v>
      </c>
      <c r="G29" s="3">
        <v>4.32</v>
      </c>
      <c r="H29" t="e" vm="3">
        <v>#VALUE!</v>
      </c>
      <c r="I29" t="e" cm="1" vm="4">
        <f t="array" aca="1" ref="I29" ca="1">_FV(H29,"Country/region",TRUE)</f>
        <v>#VALUE!</v>
      </c>
      <c r="J29" t="s">
        <v>14</v>
      </c>
      <c r="K29" t="s">
        <v>16</v>
      </c>
      <c r="L29" t="s">
        <v>20</v>
      </c>
      <c r="M29">
        <f>Table1[[#This Row],[Price]]*Table1[[#This Row],[Quantity]]</f>
        <v>6611.91</v>
      </c>
    </row>
    <row r="30" spans="2:13" x14ac:dyDescent="0.25">
      <c r="B30" s="3">
        <v>10481</v>
      </c>
      <c r="C30" s="4">
        <v>44878</v>
      </c>
      <c r="D30" t="s">
        <v>18</v>
      </c>
      <c r="E30" s="3">
        <v>9.9499999999999993</v>
      </c>
      <c r="F30" s="19">
        <v>202</v>
      </c>
      <c r="G30" s="3">
        <v>2.85</v>
      </c>
      <c r="H30" t="e" vm="3">
        <v>#VALUE!</v>
      </c>
      <c r="I30" t="e" cm="1" vm="4">
        <f t="array" aca="1" ref="I30" ca="1">_FV(H30,"Country/region",TRUE)</f>
        <v>#VALUE!</v>
      </c>
      <c r="J30" t="s">
        <v>14</v>
      </c>
      <c r="K30" t="s">
        <v>16</v>
      </c>
      <c r="L30" t="s">
        <v>20</v>
      </c>
      <c r="M30">
        <f>Table1[[#This Row],[Price]]*Table1[[#This Row],[Quantity]]</f>
        <v>2009.8999999999999</v>
      </c>
    </row>
    <row r="31" spans="2:13" x14ac:dyDescent="0.25">
      <c r="B31" s="3">
        <v>10482</v>
      </c>
      <c r="C31" s="4">
        <v>44878</v>
      </c>
      <c r="D31" t="s">
        <v>9</v>
      </c>
      <c r="E31" s="3">
        <v>25.5</v>
      </c>
      <c r="F31" s="19">
        <v>631</v>
      </c>
      <c r="G31" s="3">
        <v>0.88</v>
      </c>
      <c r="H31" t="e" vm="5">
        <v>#VALUE!</v>
      </c>
      <c r="I31" t="e" cm="1" vm="6">
        <f t="array" aca="1" ref="I31" ca="1">_FV(H31,"Country/region",TRUE)</f>
        <v>#VALUE!</v>
      </c>
      <c r="J31" t="s">
        <v>14</v>
      </c>
      <c r="K31" t="s">
        <v>16</v>
      </c>
      <c r="L31" t="s">
        <v>21</v>
      </c>
      <c r="M31">
        <f>Table1[[#This Row],[Price]]*Table1[[#This Row],[Quantity]]</f>
        <v>16090.5</v>
      </c>
    </row>
    <row r="32" spans="2:13" x14ac:dyDescent="0.25">
      <c r="B32" s="3">
        <v>10483</v>
      </c>
      <c r="C32" s="4">
        <v>44878</v>
      </c>
      <c r="D32" t="s">
        <v>12</v>
      </c>
      <c r="E32" s="3">
        <v>33.22</v>
      </c>
      <c r="F32" s="19">
        <v>678</v>
      </c>
      <c r="G32" s="3">
        <v>0.47</v>
      </c>
      <c r="H32" t="e" vm="5">
        <v>#VALUE!</v>
      </c>
      <c r="I32" t="e" cm="1" vm="6">
        <f t="array" aca="1" ref="I32" ca="1">_FV(H32,"Country/region",TRUE)</f>
        <v>#VALUE!</v>
      </c>
      <c r="J32" t="s">
        <v>14</v>
      </c>
      <c r="K32" t="s">
        <v>16</v>
      </c>
      <c r="L32" t="s">
        <v>21</v>
      </c>
      <c r="M32">
        <f>Table1[[#This Row],[Price]]*Table1[[#This Row],[Quantity]]</f>
        <v>22523.16</v>
      </c>
    </row>
    <row r="33" spans="2:13" x14ac:dyDescent="0.25">
      <c r="B33" s="3">
        <v>10484</v>
      </c>
      <c r="C33" s="4">
        <v>44878</v>
      </c>
      <c r="D33" t="s">
        <v>13</v>
      </c>
      <c r="E33" s="3">
        <v>21.44</v>
      </c>
      <c r="F33" s="19">
        <v>201</v>
      </c>
      <c r="G33" s="3">
        <v>2.25</v>
      </c>
      <c r="H33" t="e" vm="5">
        <v>#VALUE!</v>
      </c>
      <c r="I33" t="e" cm="1" vm="6">
        <f t="array" aca="1" ref="I33" ca="1">_FV(H33,"Country/region",TRUE)</f>
        <v>#VALUE!</v>
      </c>
      <c r="J33" t="s">
        <v>14</v>
      </c>
      <c r="K33" t="s">
        <v>16</v>
      </c>
      <c r="L33" t="s">
        <v>21</v>
      </c>
      <c r="M33">
        <f>Table1[[#This Row],[Price]]*Table1[[#This Row],[Quantity]]</f>
        <v>4309.4400000000005</v>
      </c>
    </row>
    <row r="34" spans="2:13" x14ac:dyDescent="0.25">
      <c r="B34" s="3">
        <v>10485</v>
      </c>
      <c r="C34" s="4">
        <v>44879</v>
      </c>
      <c r="D34" t="s">
        <v>15</v>
      </c>
      <c r="E34" s="3">
        <v>27.99</v>
      </c>
      <c r="F34" s="19">
        <v>524</v>
      </c>
      <c r="G34" s="3">
        <v>4.32</v>
      </c>
      <c r="H34" t="e" vm="5">
        <v>#VALUE!</v>
      </c>
      <c r="I34" t="e" cm="1" vm="6">
        <f t="array" aca="1" ref="I34" ca="1">_FV(H34,"Country/region",TRUE)</f>
        <v>#VALUE!</v>
      </c>
      <c r="J34" t="s">
        <v>14</v>
      </c>
      <c r="K34" t="s">
        <v>16</v>
      </c>
      <c r="L34" t="s">
        <v>21</v>
      </c>
      <c r="M34">
        <f>Table1[[#This Row],[Price]]*Table1[[#This Row],[Quantity]]</f>
        <v>14666.759999999998</v>
      </c>
    </row>
    <row r="35" spans="2:13" x14ac:dyDescent="0.25">
      <c r="B35" s="3">
        <v>10486</v>
      </c>
      <c r="C35" s="4">
        <v>44879</v>
      </c>
      <c r="D35" t="s">
        <v>18</v>
      </c>
      <c r="E35" s="3">
        <v>29.05</v>
      </c>
      <c r="F35" s="19">
        <v>202</v>
      </c>
      <c r="G35" s="3">
        <v>2.85</v>
      </c>
      <c r="H35" t="e" vm="5">
        <v>#VALUE!</v>
      </c>
      <c r="I35" t="e" cm="1" vm="6">
        <f t="array" aca="1" ref="I35" ca="1">_FV(H35,"Country/region",TRUE)</f>
        <v>#VALUE!</v>
      </c>
      <c r="J35" t="s">
        <v>14</v>
      </c>
      <c r="K35" t="s">
        <v>16</v>
      </c>
      <c r="L35" t="s">
        <v>21</v>
      </c>
      <c r="M35">
        <f>Table1[[#This Row],[Price]]*Table1[[#This Row],[Quantity]]</f>
        <v>5868.1</v>
      </c>
    </row>
    <row r="36" spans="2:13" x14ac:dyDescent="0.25">
      <c r="B36" s="3">
        <v>10487</v>
      </c>
      <c r="C36" s="4">
        <v>44879</v>
      </c>
      <c r="D36" t="s">
        <v>9</v>
      </c>
      <c r="E36" s="3">
        <v>3.49</v>
      </c>
      <c r="F36" s="19">
        <v>631</v>
      </c>
      <c r="G36" s="3">
        <v>0.88</v>
      </c>
      <c r="H36" t="e" vm="5">
        <v>#VALUE!</v>
      </c>
      <c r="I36" t="e" cm="1" vm="6">
        <f t="array" aca="1" ref="I36" ca="1">_FV(H36,"Country/region",TRUE)</f>
        <v>#VALUE!</v>
      </c>
      <c r="J36" t="s">
        <v>14</v>
      </c>
      <c r="K36" t="s">
        <v>16</v>
      </c>
      <c r="L36" t="s">
        <v>21</v>
      </c>
      <c r="M36">
        <f>Table1[[#This Row],[Price]]*Table1[[#This Row],[Quantity]]</f>
        <v>2202.19</v>
      </c>
    </row>
    <row r="37" spans="2:13" x14ac:dyDescent="0.25">
      <c r="B37" s="3">
        <v>10488</v>
      </c>
      <c r="C37" s="4">
        <v>44879</v>
      </c>
      <c r="D37" t="s">
        <v>12</v>
      </c>
      <c r="E37" s="3">
        <v>2.95</v>
      </c>
      <c r="F37" s="19">
        <v>678</v>
      </c>
      <c r="G37" s="3">
        <v>0.47</v>
      </c>
      <c r="H37" t="e" vm="5">
        <v>#VALUE!</v>
      </c>
      <c r="I37" t="e" cm="1" vm="6">
        <f t="array" aca="1" ref="I37" ca="1">_FV(H37,"Country/region",TRUE)</f>
        <v>#VALUE!</v>
      </c>
      <c r="J37" t="s">
        <v>14</v>
      </c>
      <c r="K37" t="s">
        <v>16</v>
      </c>
      <c r="L37" t="s">
        <v>21</v>
      </c>
      <c r="M37">
        <f>Table1[[#This Row],[Price]]*Table1[[#This Row],[Quantity]]</f>
        <v>2000.1000000000001</v>
      </c>
    </row>
    <row r="38" spans="2:13" x14ac:dyDescent="0.25">
      <c r="B38" s="3">
        <v>10489</v>
      </c>
      <c r="C38" s="4">
        <v>44879</v>
      </c>
      <c r="D38" t="s">
        <v>13</v>
      </c>
      <c r="E38" s="3">
        <v>4.99</v>
      </c>
      <c r="F38" s="19">
        <v>201</v>
      </c>
      <c r="G38" s="3">
        <v>2.25</v>
      </c>
      <c r="H38" t="e" vm="3">
        <v>#VALUE!</v>
      </c>
      <c r="I38" t="e" cm="1" vm="4">
        <f t="array" aca="1" ref="I38" ca="1">_FV(H38,"Country/region",TRUE)</f>
        <v>#VALUE!</v>
      </c>
      <c r="J38" t="s">
        <v>14</v>
      </c>
      <c r="K38" t="s">
        <v>16</v>
      </c>
      <c r="L38" t="s">
        <v>20</v>
      </c>
      <c r="M38">
        <f>Table1[[#This Row],[Price]]*Table1[[#This Row],[Quantity]]</f>
        <v>1002.99</v>
      </c>
    </row>
    <row r="39" spans="2:13" x14ac:dyDescent="0.25">
      <c r="B39" s="3">
        <v>10490</v>
      </c>
      <c r="C39" s="4">
        <v>44880</v>
      </c>
      <c r="D39" t="s">
        <v>15</v>
      </c>
      <c r="E39" s="3">
        <v>12.99</v>
      </c>
      <c r="F39" s="19">
        <v>509</v>
      </c>
      <c r="G39" s="3">
        <v>4.32</v>
      </c>
      <c r="H39" t="e" vm="3">
        <v>#VALUE!</v>
      </c>
      <c r="I39" t="e" cm="1" vm="4">
        <f t="array" aca="1" ref="I39" ca="1">_FV(H39,"Country/region",TRUE)</f>
        <v>#VALUE!</v>
      </c>
      <c r="J39" t="s">
        <v>14</v>
      </c>
      <c r="K39" t="s">
        <v>16</v>
      </c>
      <c r="L39" t="s">
        <v>20</v>
      </c>
      <c r="M39">
        <f>Table1[[#This Row],[Price]]*Table1[[#This Row],[Quantity]]</f>
        <v>6611.91</v>
      </c>
    </row>
    <row r="40" spans="2:13" x14ac:dyDescent="0.25">
      <c r="B40" s="3">
        <v>10491</v>
      </c>
      <c r="C40" s="4">
        <v>44880</v>
      </c>
      <c r="D40" t="s">
        <v>18</v>
      </c>
      <c r="E40" s="3">
        <v>9.9499999999999993</v>
      </c>
      <c r="F40" s="19">
        <v>202</v>
      </c>
      <c r="G40" s="3">
        <v>2.85</v>
      </c>
      <c r="H40" t="e" vm="3">
        <v>#VALUE!</v>
      </c>
      <c r="I40" t="e" cm="1" vm="4">
        <f t="array" aca="1" ref="I40" ca="1">_FV(H40,"Country/region",TRUE)</f>
        <v>#VALUE!</v>
      </c>
      <c r="J40" t="s">
        <v>14</v>
      </c>
      <c r="K40" t="s">
        <v>16</v>
      </c>
      <c r="L40" t="s">
        <v>20</v>
      </c>
      <c r="M40">
        <f>Table1[[#This Row],[Price]]*Table1[[#This Row],[Quantity]]</f>
        <v>2009.8999999999999</v>
      </c>
    </row>
    <row r="41" spans="2:13" x14ac:dyDescent="0.25">
      <c r="B41" s="3">
        <v>10492</v>
      </c>
      <c r="C41" s="4">
        <v>44880</v>
      </c>
      <c r="D41" t="s">
        <v>9</v>
      </c>
      <c r="E41" s="3">
        <v>3.49</v>
      </c>
      <c r="F41" s="19">
        <v>574</v>
      </c>
      <c r="G41" s="3">
        <v>0.88</v>
      </c>
      <c r="H41" t="e" vm="3">
        <v>#VALUE!</v>
      </c>
      <c r="I41" t="e" cm="1" vm="4">
        <f t="array" aca="1" ref="I41" ca="1">_FV(H41,"Country/region",TRUE)</f>
        <v>#VALUE!</v>
      </c>
      <c r="J41" t="s">
        <v>14</v>
      </c>
      <c r="K41" t="s">
        <v>16</v>
      </c>
      <c r="L41" t="s">
        <v>20</v>
      </c>
      <c r="M41">
        <f>Table1[[#This Row],[Price]]*Table1[[#This Row],[Quantity]]</f>
        <v>2003.2600000000002</v>
      </c>
    </row>
    <row r="42" spans="2:13" x14ac:dyDescent="0.25">
      <c r="B42" s="3">
        <v>10493</v>
      </c>
      <c r="C42" s="4">
        <v>44880</v>
      </c>
      <c r="D42" t="s">
        <v>12</v>
      </c>
      <c r="E42" s="3">
        <v>2.95</v>
      </c>
      <c r="F42" s="19">
        <v>678</v>
      </c>
      <c r="G42" s="3">
        <v>0.47</v>
      </c>
      <c r="H42" t="e" vm="3">
        <v>#VALUE!</v>
      </c>
      <c r="I42" t="e" cm="1" vm="4">
        <f t="array" aca="1" ref="I42" ca="1">_FV(H42,"Country/region",TRUE)</f>
        <v>#VALUE!</v>
      </c>
      <c r="J42" t="s">
        <v>14</v>
      </c>
      <c r="K42" t="s">
        <v>16</v>
      </c>
      <c r="L42" t="s">
        <v>20</v>
      </c>
      <c r="M42">
        <f>Table1[[#This Row],[Price]]*Table1[[#This Row],[Quantity]]</f>
        <v>2000.1000000000001</v>
      </c>
    </row>
    <row r="43" spans="2:13" x14ac:dyDescent="0.25">
      <c r="B43" s="3">
        <v>10494</v>
      </c>
      <c r="C43" s="4">
        <v>44880</v>
      </c>
      <c r="D43" t="s">
        <v>13</v>
      </c>
      <c r="E43" s="3">
        <v>4.99</v>
      </c>
      <c r="F43" s="19">
        <v>201</v>
      </c>
      <c r="G43" s="3">
        <v>2.25</v>
      </c>
      <c r="H43" t="e" vm="3">
        <v>#VALUE!</v>
      </c>
      <c r="I43" t="e" cm="1" vm="4">
        <f t="array" aca="1" ref="I43" ca="1">_FV(H43,"Country/region",TRUE)</f>
        <v>#VALUE!</v>
      </c>
      <c r="J43" t="s">
        <v>14</v>
      </c>
      <c r="K43" t="s">
        <v>16</v>
      </c>
      <c r="L43" t="s">
        <v>20</v>
      </c>
      <c r="M43">
        <f>Table1[[#This Row],[Price]]*Table1[[#This Row],[Quantity]]</f>
        <v>1002.99</v>
      </c>
    </row>
    <row r="44" spans="2:13" x14ac:dyDescent="0.25">
      <c r="B44" s="3">
        <v>10495</v>
      </c>
      <c r="C44" s="4">
        <v>44881</v>
      </c>
      <c r="D44" t="s">
        <v>15</v>
      </c>
      <c r="E44" s="3">
        <v>12.99</v>
      </c>
      <c r="F44" s="19">
        <v>509</v>
      </c>
      <c r="G44" s="3">
        <v>4.32</v>
      </c>
      <c r="H44" t="e" vm="3">
        <v>#VALUE!</v>
      </c>
      <c r="I44" t="e" cm="1" vm="4">
        <f t="array" aca="1" ref="I44" ca="1">_FV(H44,"Country/region",TRUE)</f>
        <v>#VALUE!</v>
      </c>
      <c r="J44" t="s">
        <v>14</v>
      </c>
      <c r="K44" t="s">
        <v>16</v>
      </c>
      <c r="L44" t="s">
        <v>20</v>
      </c>
      <c r="M44">
        <f>Table1[[#This Row],[Price]]*Table1[[#This Row],[Quantity]]</f>
        <v>6611.91</v>
      </c>
    </row>
    <row r="45" spans="2:13" x14ac:dyDescent="0.25">
      <c r="B45" s="3">
        <v>10496</v>
      </c>
      <c r="C45" s="4">
        <v>44881</v>
      </c>
      <c r="D45" t="s">
        <v>18</v>
      </c>
      <c r="E45" s="3">
        <v>9.9499999999999993</v>
      </c>
      <c r="F45" s="19">
        <v>202</v>
      </c>
      <c r="G45" s="3">
        <v>2.85</v>
      </c>
      <c r="H45" t="e" vm="3">
        <v>#VALUE!</v>
      </c>
      <c r="I45" t="e" cm="1" vm="4">
        <f t="array" aca="1" ref="I45" ca="1">_FV(H45,"Country/region",TRUE)</f>
        <v>#VALUE!</v>
      </c>
      <c r="J45" t="s">
        <v>14</v>
      </c>
      <c r="K45" t="s">
        <v>16</v>
      </c>
      <c r="L45" t="s">
        <v>20</v>
      </c>
      <c r="M45">
        <f>Table1[[#This Row],[Price]]*Table1[[#This Row],[Quantity]]</f>
        <v>2009.8999999999999</v>
      </c>
    </row>
    <row r="46" spans="2:13" x14ac:dyDescent="0.25">
      <c r="B46" s="3">
        <v>10497</v>
      </c>
      <c r="C46" s="4">
        <v>44881</v>
      </c>
      <c r="D46" t="s">
        <v>9</v>
      </c>
      <c r="E46" s="3">
        <v>3.49</v>
      </c>
      <c r="F46" s="19">
        <v>574</v>
      </c>
      <c r="G46" s="3">
        <v>0.88</v>
      </c>
      <c r="H46" t="e" vm="3">
        <v>#VALUE!</v>
      </c>
      <c r="I46" t="e" cm="1" vm="4">
        <f t="array" aca="1" ref="I46" ca="1">_FV(H46,"Country/region",TRUE)</f>
        <v>#VALUE!</v>
      </c>
      <c r="J46" t="s">
        <v>14</v>
      </c>
      <c r="K46" t="s">
        <v>16</v>
      </c>
      <c r="L46" t="s">
        <v>20</v>
      </c>
      <c r="M46">
        <f>Table1[[#This Row],[Price]]*Table1[[#This Row],[Quantity]]</f>
        <v>2003.2600000000002</v>
      </c>
    </row>
    <row r="47" spans="2:13" x14ac:dyDescent="0.25">
      <c r="B47" s="3">
        <v>10498</v>
      </c>
      <c r="C47" s="4">
        <v>44881</v>
      </c>
      <c r="D47" t="s">
        <v>12</v>
      </c>
      <c r="E47" s="3">
        <v>2.95</v>
      </c>
      <c r="F47" s="19">
        <v>678</v>
      </c>
      <c r="G47" s="3">
        <v>0.47</v>
      </c>
      <c r="H47" t="e" vm="3">
        <v>#VALUE!</v>
      </c>
      <c r="I47" t="e" cm="1" vm="4">
        <f t="array" aca="1" ref="I47" ca="1">_FV(H47,"Country/region",TRUE)</f>
        <v>#VALUE!</v>
      </c>
      <c r="J47" t="s">
        <v>22</v>
      </c>
      <c r="K47" t="s">
        <v>16</v>
      </c>
      <c r="L47" t="s">
        <v>20</v>
      </c>
      <c r="M47">
        <f>Table1[[#This Row],[Price]]*Table1[[#This Row],[Quantity]]</f>
        <v>2000.1000000000001</v>
      </c>
    </row>
    <row r="48" spans="2:13" x14ac:dyDescent="0.25">
      <c r="B48" s="3">
        <v>10499</v>
      </c>
      <c r="C48" s="4">
        <v>44881</v>
      </c>
      <c r="D48" t="s">
        <v>13</v>
      </c>
      <c r="E48" s="3">
        <v>4.99</v>
      </c>
      <c r="F48" s="19">
        <v>201</v>
      </c>
      <c r="G48" s="3">
        <v>2.25</v>
      </c>
      <c r="H48" t="e" vm="3">
        <v>#VALUE!</v>
      </c>
      <c r="I48" t="e" cm="1" vm="4">
        <f t="array" aca="1" ref="I48" ca="1">_FV(H48,"Country/region",TRUE)</f>
        <v>#VALUE!</v>
      </c>
      <c r="J48" t="s">
        <v>22</v>
      </c>
      <c r="K48" t="s">
        <v>16</v>
      </c>
      <c r="L48" t="s">
        <v>20</v>
      </c>
      <c r="M48">
        <f>Table1[[#This Row],[Price]]*Table1[[#This Row],[Quantity]]</f>
        <v>1002.99</v>
      </c>
    </row>
    <row r="49" spans="2:13" x14ac:dyDescent="0.25">
      <c r="B49" s="3">
        <v>10500</v>
      </c>
      <c r="C49" s="4">
        <v>44882</v>
      </c>
      <c r="D49" t="s">
        <v>15</v>
      </c>
      <c r="E49" s="3">
        <v>12.99</v>
      </c>
      <c r="F49" s="19">
        <v>524</v>
      </c>
      <c r="G49" s="3">
        <v>4.32</v>
      </c>
      <c r="H49" t="e" vm="3">
        <v>#VALUE!</v>
      </c>
      <c r="I49" t="e" cm="1" vm="4">
        <f t="array" aca="1" ref="I49" ca="1">_FV(H49,"Country/region",TRUE)</f>
        <v>#VALUE!</v>
      </c>
      <c r="J49" t="s">
        <v>22</v>
      </c>
      <c r="K49" t="s">
        <v>16</v>
      </c>
      <c r="L49" t="s">
        <v>20</v>
      </c>
      <c r="M49">
        <f>Table1[[#This Row],[Price]]*Table1[[#This Row],[Quantity]]</f>
        <v>6806.76</v>
      </c>
    </row>
    <row r="50" spans="2:13" x14ac:dyDescent="0.25">
      <c r="B50" s="3">
        <v>10501</v>
      </c>
      <c r="C50" s="4">
        <v>44882</v>
      </c>
      <c r="D50" t="s">
        <v>18</v>
      </c>
      <c r="E50" s="3">
        <v>9.9499999999999993</v>
      </c>
      <c r="F50" s="19">
        <v>202</v>
      </c>
      <c r="G50" s="3">
        <v>2.85</v>
      </c>
      <c r="H50" t="e" vm="3">
        <v>#VALUE!</v>
      </c>
      <c r="I50" t="e" cm="1" vm="4">
        <f t="array" aca="1" ref="I50" ca="1">_FV(H50,"Country/region",TRUE)</f>
        <v>#VALUE!</v>
      </c>
      <c r="J50" t="s">
        <v>22</v>
      </c>
      <c r="K50" t="s">
        <v>16</v>
      </c>
      <c r="L50" t="s">
        <v>20</v>
      </c>
      <c r="M50">
        <f>Table1[[#This Row],[Price]]*Table1[[#This Row],[Quantity]]</f>
        <v>2009.8999999999999</v>
      </c>
    </row>
    <row r="51" spans="2:13" x14ac:dyDescent="0.25">
      <c r="B51" s="3">
        <v>10502</v>
      </c>
      <c r="C51" s="4">
        <v>44882</v>
      </c>
      <c r="D51" t="s">
        <v>9</v>
      </c>
      <c r="E51" s="3">
        <v>3.49</v>
      </c>
      <c r="F51" s="19">
        <v>631</v>
      </c>
      <c r="G51" s="3">
        <v>0.88</v>
      </c>
      <c r="H51" t="e" vm="3">
        <v>#VALUE!</v>
      </c>
      <c r="I51" t="e" cm="1" vm="4">
        <f t="array" aca="1" ref="I51" ca="1">_FV(H51,"Country/region",TRUE)</f>
        <v>#VALUE!</v>
      </c>
      <c r="J51" t="s">
        <v>22</v>
      </c>
      <c r="K51" t="s">
        <v>16</v>
      </c>
      <c r="L51" t="s">
        <v>20</v>
      </c>
      <c r="M51">
        <f>Table1[[#This Row],[Price]]*Table1[[#This Row],[Quantity]]</f>
        <v>2202.19</v>
      </c>
    </row>
    <row r="52" spans="2:13" x14ac:dyDescent="0.25">
      <c r="B52" s="3">
        <v>10503</v>
      </c>
      <c r="C52" s="4">
        <v>44882</v>
      </c>
      <c r="D52" t="s">
        <v>12</v>
      </c>
      <c r="E52" s="3">
        <v>2.95</v>
      </c>
      <c r="F52" s="19">
        <v>678</v>
      </c>
      <c r="G52" s="3">
        <v>0.47</v>
      </c>
      <c r="H52" t="e" vm="3">
        <v>#VALUE!</v>
      </c>
      <c r="I52" t="e" cm="1" vm="4">
        <f t="array" aca="1" ref="I52" ca="1">_FV(H52,"Country/region",TRUE)</f>
        <v>#VALUE!</v>
      </c>
      <c r="J52" t="s">
        <v>22</v>
      </c>
      <c r="K52" t="s">
        <v>16</v>
      </c>
      <c r="L52" t="s">
        <v>20</v>
      </c>
      <c r="M52">
        <f>Table1[[#This Row],[Price]]*Table1[[#This Row],[Quantity]]</f>
        <v>2000.1000000000001</v>
      </c>
    </row>
    <row r="53" spans="2:13" x14ac:dyDescent="0.25">
      <c r="B53" s="3">
        <v>10504</v>
      </c>
      <c r="C53" s="4">
        <v>44882</v>
      </c>
      <c r="D53" t="s">
        <v>13</v>
      </c>
      <c r="E53" s="3">
        <v>4.99</v>
      </c>
      <c r="F53" s="19">
        <v>201</v>
      </c>
      <c r="G53" s="3">
        <v>2.25</v>
      </c>
      <c r="H53" t="e" vm="3">
        <v>#VALUE!</v>
      </c>
      <c r="I53" t="e" cm="1" vm="4">
        <f t="array" aca="1" ref="I53" ca="1">_FV(H53,"Country/region",TRUE)</f>
        <v>#VALUE!</v>
      </c>
      <c r="J53" t="s">
        <v>22</v>
      </c>
      <c r="K53" t="s">
        <v>16</v>
      </c>
      <c r="L53" t="s">
        <v>20</v>
      </c>
      <c r="M53">
        <f>Table1[[#This Row],[Price]]*Table1[[#This Row],[Quantity]]</f>
        <v>1002.99</v>
      </c>
    </row>
    <row r="54" spans="2:13" x14ac:dyDescent="0.25">
      <c r="B54" s="3">
        <v>10505</v>
      </c>
      <c r="C54" s="4">
        <v>44883</v>
      </c>
      <c r="D54" t="s">
        <v>15</v>
      </c>
      <c r="E54" s="3">
        <v>12.99</v>
      </c>
      <c r="F54" s="19">
        <v>539</v>
      </c>
      <c r="G54" s="3">
        <v>4.32</v>
      </c>
      <c r="H54" t="e" vm="3">
        <v>#VALUE!</v>
      </c>
      <c r="I54" t="e" cm="1" vm="4">
        <f t="array" aca="1" ref="I54" ca="1">_FV(H54,"Country/region",TRUE)</f>
        <v>#VALUE!</v>
      </c>
      <c r="J54" t="s">
        <v>22</v>
      </c>
      <c r="K54" t="s">
        <v>16</v>
      </c>
      <c r="L54" t="s">
        <v>20</v>
      </c>
      <c r="M54">
        <f>Table1[[#This Row],[Price]]*Table1[[#This Row],[Quantity]]</f>
        <v>7001.61</v>
      </c>
    </row>
    <row r="55" spans="2:13" x14ac:dyDescent="0.25">
      <c r="B55" s="3">
        <v>10506</v>
      </c>
      <c r="C55" s="4">
        <v>44883</v>
      </c>
      <c r="D55" t="s">
        <v>18</v>
      </c>
      <c r="E55" s="3">
        <v>9.9499999999999993</v>
      </c>
      <c r="F55" s="19">
        <v>202</v>
      </c>
      <c r="G55" s="3">
        <v>2.85</v>
      </c>
      <c r="H55" t="e" vm="3">
        <v>#VALUE!</v>
      </c>
      <c r="I55" t="e" cm="1" vm="4">
        <f t="array" aca="1" ref="I55" ca="1">_FV(H55,"Country/region",TRUE)</f>
        <v>#VALUE!</v>
      </c>
      <c r="J55" t="s">
        <v>22</v>
      </c>
      <c r="K55" t="s">
        <v>16</v>
      </c>
      <c r="L55" t="s">
        <v>20</v>
      </c>
      <c r="M55">
        <f>Table1[[#This Row],[Price]]*Table1[[#This Row],[Quantity]]</f>
        <v>2009.8999999999999</v>
      </c>
    </row>
    <row r="56" spans="2:13" x14ac:dyDescent="0.25">
      <c r="B56" s="3">
        <v>10507</v>
      </c>
      <c r="C56" s="4">
        <v>44883</v>
      </c>
      <c r="D56" t="s">
        <v>9</v>
      </c>
      <c r="E56" s="3">
        <v>3.49</v>
      </c>
      <c r="F56" s="19">
        <v>688</v>
      </c>
      <c r="G56" s="3">
        <v>0.88</v>
      </c>
      <c r="H56" t="e" vm="3">
        <v>#VALUE!</v>
      </c>
      <c r="I56" t="e" cm="1" vm="4">
        <f t="array" aca="1" ref="I56" ca="1">_FV(H56,"Country/region",TRUE)</f>
        <v>#VALUE!</v>
      </c>
      <c r="J56" t="s">
        <v>22</v>
      </c>
      <c r="K56" t="s">
        <v>16</v>
      </c>
      <c r="L56" t="s">
        <v>20</v>
      </c>
      <c r="M56">
        <f>Table1[[#This Row],[Price]]*Table1[[#This Row],[Quantity]]</f>
        <v>2401.1200000000003</v>
      </c>
    </row>
    <row r="57" spans="2:13" x14ac:dyDescent="0.25">
      <c r="B57" s="3">
        <v>10508</v>
      </c>
      <c r="C57" s="4">
        <v>44883</v>
      </c>
      <c r="D57" t="s">
        <v>12</v>
      </c>
      <c r="E57" s="3">
        <v>2.95</v>
      </c>
      <c r="F57" s="19">
        <v>678</v>
      </c>
      <c r="G57" s="3">
        <v>0.47</v>
      </c>
      <c r="H57" t="e" vm="3">
        <v>#VALUE!</v>
      </c>
      <c r="I57" t="e" cm="1" vm="4">
        <f t="array" aca="1" ref="I57" ca="1">_FV(H57,"Country/region",TRUE)</f>
        <v>#VALUE!</v>
      </c>
      <c r="J57" t="s">
        <v>22</v>
      </c>
      <c r="K57" t="s">
        <v>16</v>
      </c>
      <c r="L57" t="s">
        <v>20</v>
      </c>
      <c r="M57">
        <f>Table1[[#This Row],[Price]]*Table1[[#This Row],[Quantity]]</f>
        <v>2000.1000000000001</v>
      </c>
    </row>
    <row r="58" spans="2:13" x14ac:dyDescent="0.25">
      <c r="B58" s="3">
        <v>10509</v>
      </c>
      <c r="C58" s="4">
        <v>44883</v>
      </c>
      <c r="D58" t="s">
        <v>13</v>
      </c>
      <c r="E58" s="3">
        <v>4.99</v>
      </c>
      <c r="F58" s="19">
        <v>201</v>
      </c>
      <c r="G58" s="3">
        <v>2.25</v>
      </c>
      <c r="H58" t="e" vm="3">
        <v>#VALUE!</v>
      </c>
      <c r="I58" t="e" cm="1" vm="4">
        <f t="array" aca="1" ref="I58" ca="1">_FV(H58,"Country/region",TRUE)</f>
        <v>#VALUE!</v>
      </c>
      <c r="J58" t="s">
        <v>22</v>
      </c>
      <c r="K58" t="s">
        <v>16</v>
      </c>
      <c r="L58" t="s">
        <v>20</v>
      </c>
      <c r="M58">
        <f>Table1[[#This Row],[Price]]*Table1[[#This Row],[Quantity]]</f>
        <v>1002.99</v>
      </c>
    </row>
    <row r="59" spans="2:13" x14ac:dyDescent="0.25">
      <c r="B59" s="3">
        <v>10510</v>
      </c>
      <c r="C59" s="4">
        <v>44884</v>
      </c>
      <c r="D59" t="s">
        <v>15</v>
      </c>
      <c r="E59" s="3">
        <v>12.99</v>
      </c>
      <c r="F59" s="19">
        <v>509</v>
      </c>
      <c r="G59" s="3">
        <v>4.32</v>
      </c>
      <c r="H59" t="e" vm="3">
        <v>#VALUE!</v>
      </c>
      <c r="I59" t="e" cm="1" vm="4">
        <f t="array" aca="1" ref="I59" ca="1">_FV(H59,"Country/region",TRUE)</f>
        <v>#VALUE!</v>
      </c>
      <c r="J59" t="s">
        <v>22</v>
      </c>
      <c r="K59" t="s">
        <v>16</v>
      </c>
      <c r="L59" t="s">
        <v>20</v>
      </c>
      <c r="M59">
        <f>Table1[[#This Row],[Price]]*Table1[[#This Row],[Quantity]]</f>
        <v>6611.91</v>
      </c>
    </row>
    <row r="60" spans="2:13" x14ac:dyDescent="0.25">
      <c r="B60" s="3">
        <v>10511</v>
      </c>
      <c r="C60" s="4">
        <v>44884</v>
      </c>
      <c r="D60" t="s">
        <v>18</v>
      </c>
      <c r="E60" s="3">
        <v>9.9499999999999993</v>
      </c>
      <c r="F60" s="19">
        <v>202</v>
      </c>
      <c r="G60" s="3">
        <v>2.85</v>
      </c>
      <c r="H60" t="e" vm="5">
        <v>#VALUE!</v>
      </c>
      <c r="I60" t="e" cm="1" vm="6">
        <f t="array" aca="1" ref="I60" ca="1">_FV(H60,"Country/region",TRUE)</f>
        <v>#VALUE!</v>
      </c>
      <c r="J60" t="s">
        <v>22</v>
      </c>
      <c r="K60" t="s">
        <v>16</v>
      </c>
      <c r="L60" t="s">
        <v>21</v>
      </c>
      <c r="M60">
        <f>Table1[[#This Row],[Price]]*Table1[[#This Row],[Quantity]]</f>
        <v>2009.8999999999999</v>
      </c>
    </row>
    <row r="61" spans="2:13" x14ac:dyDescent="0.25">
      <c r="B61" s="3">
        <v>10512</v>
      </c>
      <c r="C61" s="4">
        <v>44884</v>
      </c>
      <c r="D61" t="s">
        <v>9</v>
      </c>
      <c r="E61" s="3">
        <v>3.49</v>
      </c>
      <c r="F61" s="19">
        <v>688</v>
      </c>
      <c r="G61" s="3">
        <v>0.88</v>
      </c>
      <c r="H61" t="e" vm="5">
        <v>#VALUE!</v>
      </c>
      <c r="I61" t="e" cm="1" vm="6">
        <f t="array" aca="1" ref="I61" ca="1">_FV(H61,"Country/region",TRUE)</f>
        <v>#VALUE!</v>
      </c>
      <c r="J61" t="s">
        <v>22</v>
      </c>
      <c r="K61" t="s">
        <v>16</v>
      </c>
      <c r="L61" t="s">
        <v>21</v>
      </c>
      <c r="M61">
        <f>Table1[[#This Row],[Price]]*Table1[[#This Row],[Quantity]]</f>
        <v>2401.1200000000003</v>
      </c>
    </row>
    <row r="62" spans="2:13" x14ac:dyDescent="0.25">
      <c r="B62" s="3">
        <v>10513</v>
      </c>
      <c r="C62" s="4">
        <v>44884</v>
      </c>
      <c r="D62" t="s">
        <v>12</v>
      </c>
      <c r="E62" s="3">
        <v>2.95</v>
      </c>
      <c r="F62" s="19">
        <v>678</v>
      </c>
      <c r="G62" s="3">
        <v>0.47</v>
      </c>
      <c r="H62" t="e" vm="5">
        <v>#VALUE!</v>
      </c>
      <c r="I62" t="e" cm="1" vm="6">
        <f t="array" aca="1" ref="I62" ca="1">_FV(H62,"Country/region",TRUE)</f>
        <v>#VALUE!</v>
      </c>
      <c r="J62" t="s">
        <v>22</v>
      </c>
      <c r="K62" t="s">
        <v>23</v>
      </c>
      <c r="L62" t="s">
        <v>21</v>
      </c>
      <c r="M62">
        <f>Table1[[#This Row],[Price]]*Table1[[#This Row],[Quantity]]</f>
        <v>2000.1000000000001</v>
      </c>
    </row>
    <row r="63" spans="2:13" x14ac:dyDescent="0.25">
      <c r="B63" s="3">
        <v>10514</v>
      </c>
      <c r="C63" s="4">
        <v>44884</v>
      </c>
      <c r="D63" t="s">
        <v>13</v>
      </c>
      <c r="E63" s="3">
        <v>4.99</v>
      </c>
      <c r="F63" s="19">
        <v>201</v>
      </c>
      <c r="G63" s="3">
        <v>2.25</v>
      </c>
      <c r="H63" t="e" vm="5">
        <v>#VALUE!</v>
      </c>
      <c r="I63" t="e" cm="1" vm="6">
        <f t="array" aca="1" ref="I63" ca="1">_FV(H63,"Country/region",TRUE)</f>
        <v>#VALUE!</v>
      </c>
      <c r="J63" t="s">
        <v>22</v>
      </c>
      <c r="K63" t="s">
        <v>23</v>
      </c>
      <c r="L63" t="s">
        <v>21</v>
      </c>
      <c r="M63">
        <f>Table1[[#This Row],[Price]]*Table1[[#This Row],[Quantity]]</f>
        <v>1002.99</v>
      </c>
    </row>
    <row r="64" spans="2:13" x14ac:dyDescent="0.25">
      <c r="B64" s="3">
        <v>10515</v>
      </c>
      <c r="C64" s="4">
        <v>44885</v>
      </c>
      <c r="D64" t="s">
        <v>15</v>
      </c>
      <c r="E64" s="3">
        <v>12.99</v>
      </c>
      <c r="F64" s="19">
        <v>478</v>
      </c>
      <c r="G64" s="3">
        <v>4.32</v>
      </c>
      <c r="H64" t="e" vm="5">
        <v>#VALUE!</v>
      </c>
      <c r="I64" t="e" cm="1" vm="6">
        <f t="array" aca="1" ref="I64" ca="1">_FV(H64,"Country/region",TRUE)</f>
        <v>#VALUE!</v>
      </c>
      <c r="J64" t="s">
        <v>22</v>
      </c>
      <c r="K64" t="s">
        <v>23</v>
      </c>
      <c r="L64" t="s">
        <v>21</v>
      </c>
      <c r="M64">
        <f>Table1[[#This Row],[Price]]*Table1[[#This Row],[Quantity]]</f>
        <v>6209.22</v>
      </c>
    </row>
    <row r="65" spans="2:13" x14ac:dyDescent="0.25">
      <c r="B65" s="3">
        <v>10516</v>
      </c>
      <c r="C65" s="4">
        <v>44885</v>
      </c>
      <c r="D65" t="s">
        <v>18</v>
      </c>
      <c r="E65" s="3">
        <v>9.9499999999999993</v>
      </c>
      <c r="F65" s="19">
        <v>202</v>
      </c>
      <c r="G65" s="3">
        <v>2.85</v>
      </c>
      <c r="H65" t="e" vm="5">
        <v>#VALUE!</v>
      </c>
      <c r="I65" t="e" cm="1" vm="6">
        <f t="array" aca="1" ref="I65" ca="1">_FV(H65,"Country/region",TRUE)</f>
        <v>#VALUE!</v>
      </c>
      <c r="J65" t="s">
        <v>22</v>
      </c>
      <c r="K65" t="s">
        <v>23</v>
      </c>
      <c r="L65" t="s">
        <v>21</v>
      </c>
      <c r="M65">
        <f>Table1[[#This Row],[Price]]*Table1[[#This Row],[Quantity]]</f>
        <v>2009.8999999999999</v>
      </c>
    </row>
    <row r="66" spans="2:13" x14ac:dyDescent="0.25">
      <c r="B66" s="3">
        <v>10520</v>
      </c>
      <c r="C66" s="4">
        <v>44886</v>
      </c>
      <c r="D66" t="s">
        <v>15</v>
      </c>
      <c r="E66" s="3">
        <v>12.99</v>
      </c>
      <c r="F66" s="19">
        <v>493</v>
      </c>
      <c r="G66" s="3">
        <v>4.32</v>
      </c>
      <c r="H66" t="e" vm="9">
        <v>#VALUE!</v>
      </c>
      <c r="I66" t="e" cm="1" vm="10">
        <f t="array" aca="1" ref="I66" ca="1">_FV(H66,"Country/region",TRUE)</f>
        <v>#VALUE!</v>
      </c>
      <c r="J66" t="s">
        <v>22</v>
      </c>
      <c r="K66" t="s">
        <v>23</v>
      </c>
      <c r="L66" t="s">
        <v>19</v>
      </c>
      <c r="M66">
        <f>Table1[[#This Row],[Price]]*Table1[[#This Row],[Quantity]]</f>
        <v>6404.07</v>
      </c>
    </row>
    <row r="67" spans="2:13" x14ac:dyDescent="0.25">
      <c r="B67" s="3">
        <v>10521</v>
      </c>
      <c r="C67" s="4">
        <v>44886</v>
      </c>
      <c r="D67" t="s">
        <v>18</v>
      </c>
      <c r="E67" s="3">
        <v>9.9499999999999993</v>
      </c>
      <c r="F67" s="19">
        <v>202</v>
      </c>
      <c r="G67" s="3">
        <v>2.85</v>
      </c>
      <c r="H67" t="e" vm="9">
        <v>#VALUE!</v>
      </c>
      <c r="I67" t="e" cm="1" vm="10">
        <f t="array" aca="1" ref="I67" ca="1">_FV(H67,"Country/region",TRUE)</f>
        <v>#VALUE!</v>
      </c>
      <c r="J67" t="s">
        <v>22</v>
      </c>
      <c r="K67" t="s">
        <v>23</v>
      </c>
      <c r="L67" t="s">
        <v>19</v>
      </c>
      <c r="M67">
        <f>Table1[[#This Row],[Price]]*Table1[[#This Row],[Quantity]]</f>
        <v>2009.8999999999999</v>
      </c>
    </row>
    <row r="68" spans="2:13" x14ac:dyDescent="0.25">
      <c r="B68" s="3">
        <v>10522</v>
      </c>
      <c r="C68" s="4">
        <v>44886</v>
      </c>
      <c r="D68" t="s">
        <v>9</v>
      </c>
      <c r="E68" s="3">
        <v>3.49</v>
      </c>
      <c r="F68" s="19">
        <v>688</v>
      </c>
      <c r="G68" s="3">
        <v>0.88</v>
      </c>
      <c r="H68" t="e" vm="9">
        <v>#VALUE!</v>
      </c>
      <c r="I68" t="e" cm="1" vm="10">
        <f t="array" aca="1" ref="I68" ca="1">_FV(H68,"Country/region",TRUE)</f>
        <v>#VALUE!</v>
      </c>
      <c r="J68" t="s">
        <v>22</v>
      </c>
      <c r="K68" t="s">
        <v>23</v>
      </c>
      <c r="L68" t="s">
        <v>19</v>
      </c>
      <c r="M68">
        <f>Table1[[#This Row],[Price]]*Table1[[#This Row],[Quantity]]</f>
        <v>2401.1200000000003</v>
      </c>
    </row>
    <row r="69" spans="2:13" x14ac:dyDescent="0.25">
      <c r="B69" s="3">
        <v>10523</v>
      </c>
      <c r="C69" s="4">
        <v>44886</v>
      </c>
      <c r="D69" t="s">
        <v>12</v>
      </c>
      <c r="E69" s="3">
        <v>2.95</v>
      </c>
      <c r="F69" s="19">
        <v>746</v>
      </c>
      <c r="G69" s="3">
        <v>0.47</v>
      </c>
      <c r="H69" t="e" vm="9">
        <v>#VALUE!</v>
      </c>
      <c r="I69" t="e" cm="1" vm="10">
        <f t="array" aca="1" ref="I69" ca="1">_FV(H69,"Country/region",TRUE)</f>
        <v>#VALUE!</v>
      </c>
      <c r="J69" t="s">
        <v>22</v>
      </c>
      <c r="K69" t="s">
        <v>23</v>
      </c>
      <c r="L69" t="s">
        <v>19</v>
      </c>
      <c r="M69">
        <f>Table1[[#This Row],[Price]]*Table1[[#This Row],[Quantity]]</f>
        <v>2200.7000000000003</v>
      </c>
    </row>
    <row r="70" spans="2:13" x14ac:dyDescent="0.25">
      <c r="B70" s="3">
        <v>10524</v>
      </c>
      <c r="C70" s="4">
        <v>44886</v>
      </c>
      <c r="D70" t="s">
        <v>13</v>
      </c>
      <c r="E70" s="3">
        <v>4.99</v>
      </c>
      <c r="F70" s="19">
        <v>201</v>
      </c>
      <c r="G70" s="3">
        <v>2.25</v>
      </c>
      <c r="H70" t="e" vm="9">
        <v>#VALUE!</v>
      </c>
      <c r="I70" t="e" cm="1" vm="10">
        <f t="array" aca="1" ref="I70" ca="1">_FV(H70,"Country/region",TRUE)</f>
        <v>#VALUE!</v>
      </c>
      <c r="J70" t="s">
        <v>22</v>
      </c>
      <c r="K70" t="s">
        <v>23</v>
      </c>
      <c r="L70" t="s">
        <v>19</v>
      </c>
      <c r="M70">
        <f>Table1[[#This Row],[Price]]*Table1[[#This Row],[Quantity]]</f>
        <v>1002.99</v>
      </c>
    </row>
    <row r="71" spans="2:13" x14ac:dyDescent="0.25">
      <c r="B71" s="3">
        <v>10525</v>
      </c>
      <c r="C71" s="4">
        <v>44887</v>
      </c>
      <c r="D71" t="s">
        <v>15</v>
      </c>
      <c r="E71" s="3">
        <v>12.99</v>
      </c>
      <c r="F71" s="19">
        <v>462</v>
      </c>
      <c r="G71" s="3">
        <v>4.32</v>
      </c>
      <c r="H71" t="e" vm="9">
        <v>#VALUE!</v>
      </c>
      <c r="I71" t="e" cm="1" vm="10">
        <f t="array" aca="1" ref="I71" ca="1">_FV(H71,"Country/region",TRUE)</f>
        <v>#VALUE!</v>
      </c>
      <c r="J71" t="s">
        <v>22</v>
      </c>
      <c r="K71" t="s">
        <v>23</v>
      </c>
      <c r="L71" t="s">
        <v>19</v>
      </c>
      <c r="M71">
        <f>Table1[[#This Row],[Price]]*Table1[[#This Row],[Quantity]]</f>
        <v>6001.38</v>
      </c>
    </row>
    <row r="72" spans="2:13" x14ac:dyDescent="0.25">
      <c r="B72" s="3">
        <v>10526</v>
      </c>
      <c r="C72" s="4">
        <v>44887</v>
      </c>
      <c r="D72" t="s">
        <v>18</v>
      </c>
      <c r="E72" s="3">
        <v>9.9499999999999993</v>
      </c>
      <c r="F72" s="19">
        <v>202</v>
      </c>
      <c r="G72" s="3">
        <v>2.85</v>
      </c>
      <c r="H72" t="e" vm="9">
        <v>#VALUE!</v>
      </c>
      <c r="I72" t="e" cm="1" vm="10">
        <f t="array" aca="1" ref="I72" ca="1">_FV(H72,"Country/region",TRUE)</f>
        <v>#VALUE!</v>
      </c>
      <c r="J72" t="s">
        <v>22</v>
      </c>
      <c r="K72" t="s">
        <v>23</v>
      </c>
      <c r="L72" t="s">
        <v>19</v>
      </c>
      <c r="M72">
        <f>Table1[[#This Row],[Price]]*Table1[[#This Row],[Quantity]]</f>
        <v>2009.8999999999999</v>
      </c>
    </row>
    <row r="73" spans="2:13" x14ac:dyDescent="0.25">
      <c r="B73" s="3">
        <v>10527</v>
      </c>
      <c r="C73" s="4">
        <v>44887</v>
      </c>
      <c r="D73" t="s">
        <v>9</v>
      </c>
      <c r="E73" s="3">
        <v>3.49</v>
      </c>
      <c r="F73" s="19">
        <v>688</v>
      </c>
      <c r="G73" s="3">
        <v>0.88</v>
      </c>
      <c r="H73" t="e" vm="9">
        <v>#VALUE!</v>
      </c>
      <c r="I73" t="e" cm="1" vm="10">
        <f t="array" aca="1" ref="I73" ca="1">_FV(H73,"Country/region",TRUE)</f>
        <v>#VALUE!</v>
      </c>
      <c r="J73" t="s">
        <v>22</v>
      </c>
      <c r="K73" t="s">
        <v>23</v>
      </c>
      <c r="L73" t="s">
        <v>19</v>
      </c>
      <c r="M73">
        <f>Table1[[#This Row],[Price]]*Table1[[#This Row],[Quantity]]</f>
        <v>2401.1200000000003</v>
      </c>
    </row>
    <row r="74" spans="2:13" x14ac:dyDescent="0.25">
      <c r="B74" s="3">
        <v>10528</v>
      </c>
      <c r="C74" s="4">
        <v>44887</v>
      </c>
      <c r="D74" t="s">
        <v>12</v>
      </c>
      <c r="E74" s="3">
        <v>2.95</v>
      </c>
      <c r="F74" s="19">
        <v>746</v>
      </c>
      <c r="G74" s="3">
        <v>0.47</v>
      </c>
      <c r="H74" t="e" vm="9">
        <v>#VALUE!</v>
      </c>
      <c r="I74" t="e" cm="1" vm="10">
        <f t="array" aca="1" ref="I74" ca="1">_FV(H74,"Country/region",TRUE)</f>
        <v>#VALUE!</v>
      </c>
      <c r="J74" t="s">
        <v>22</v>
      </c>
      <c r="K74" t="s">
        <v>23</v>
      </c>
      <c r="L74" t="s">
        <v>19</v>
      </c>
      <c r="M74">
        <f>Table1[[#This Row],[Price]]*Table1[[#This Row],[Quantity]]</f>
        <v>2200.7000000000003</v>
      </c>
    </row>
    <row r="75" spans="2:13" x14ac:dyDescent="0.25">
      <c r="B75" s="3">
        <v>10529</v>
      </c>
      <c r="C75" s="4">
        <v>44887</v>
      </c>
      <c r="D75" t="s">
        <v>13</v>
      </c>
      <c r="E75" s="3">
        <v>4.99</v>
      </c>
      <c r="F75" s="19">
        <v>201</v>
      </c>
      <c r="G75" s="3">
        <v>2.25</v>
      </c>
      <c r="H75" t="e" vm="9">
        <v>#VALUE!</v>
      </c>
      <c r="I75" t="e" cm="1" vm="10">
        <f t="array" aca="1" ref="I75" ca="1">_FV(H75,"Country/region",TRUE)</f>
        <v>#VALUE!</v>
      </c>
      <c r="J75" t="s">
        <v>22</v>
      </c>
      <c r="K75" t="s">
        <v>23</v>
      </c>
      <c r="L75" t="s">
        <v>19</v>
      </c>
      <c r="M75">
        <f>Table1[[#This Row],[Price]]*Table1[[#This Row],[Quantity]]</f>
        <v>1002.99</v>
      </c>
    </row>
    <row r="76" spans="2:13" x14ac:dyDescent="0.25">
      <c r="B76" s="3">
        <v>10530</v>
      </c>
      <c r="C76" s="4">
        <v>44888</v>
      </c>
      <c r="D76" t="s">
        <v>15</v>
      </c>
      <c r="E76" s="3">
        <v>12.99</v>
      </c>
      <c r="F76" s="19">
        <v>478</v>
      </c>
      <c r="G76" s="3">
        <v>4.32</v>
      </c>
      <c r="H76" t="e" vm="9">
        <v>#VALUE!</v>
      </c>
      <c r="I76" t="e" cm="1" vm="10">
        <f t="array" aca="1" ref="I76" ca="1">_FV(H76,"Country/region",TRUE)</f>
        <v>#VALUE!</v>
      </c>
      <c r="J76" t="s">
        <v>22</v>
      </c>
      <c r="K76" t="s">
        <v>23</v>
      </c>
      <c r="L76" t="s">
        <v>19</v>
      </c>
      <c r="M76">
        <f>Table1[[#This Row],[Price]]*Table1[[#This Row],[Quantity]]</f>
        <v>6209.22</v>
      </c>
    </row>
    <row r="77" spans="2:13" x14ac:dyDescent="0.25">
      <c r="B77" s="3">
        <v>10531</v>
      </c>
      <c r="C77" s="4">
        <v>44888</v>
      </c>
      <c r="D77" t="s">
        <v>18</v>
      </c>
      <c r="E77" s="3">
        <v>9.9499999999999993</v>
      </c>
      <c r="F77" s="19">
        <v>202</v>
      </c>
      <c r="G77" s="3">
        <v>2.85</v>
      </c>
      <c r="H77" t="e" vm="9">
        <v>#VALUE!</v>
      </c>
      <c r="I77" t="e" cm="1" vm="10">
        <f t="array" aca="1" ref="I77" ca="1">_FV(H77,"Country/region",TRUE)</f>
        <v>#VALUE!</v>
      </c>
      <c r="J77" t="s">
        <v>22</v>
      </c>
      <c r="K77" t="s">
        <v>23</v>
      </c>
      <c r="L77" t="s">
        <v>19</v>
      </c>
      <c r="M77">
        <f>Table1[[#This Row],[Price]]*Table1[[#This Row],[Quantity]]</f>
        <v>2009.8999999999999</v>
      </c>
    </row>
    <row r="78" spans="2:13" x14ac:dyDescent="0.25">
      <c r="B78" s="3">
        <v>10532</v>
      </c>
      <c r="C78" s="4">
        <v>44888</v>
      </c>
      <c r="D78" t="s">
        <v>9</v>
      </c>
      <c r="E78" s="3">
        <v>3.49</v>
      </c>
      <c r="F78" s="19">
        <v>688</v>
      </c>
      <c r="G78" s="3">
        <v>0.88</v>
      </c>
      <c r="H78" t="e" vm="5">
        <v>#VALUE!</v>
      </c>
      <c r="I78" t="e" cm="1" vm="6">
        <f t="array" aca="1" ref="I78" ca="1">_FV(H78,"Country/region",TRUE)</f>
        <v>#VALUE!</v>
      </c>
      <c r="J78" t="s">
        <v>22</v>
      </c>
      <c r="K78" t="s">
        <v>23</v>
      </c>
      <c r="L78" t="s">
        <v>21</v>
      </c>
      <c r="M78">
        <f>Table1[[#This Row],[Price]]*Table1[[#This Row],[Quantity]]</f>
        <v>2401.1200000000003</v>
      </c>
    </row>
    <row r="79" spans="2:13" x14ac:dyDescent="0.25">
      <c r="B79" s="3">
        <v>10533</v>
      </c>
      <c r="C79" s="4">
        <v>44888</v>
      </c>
      <c r="D79" t="s">
        <v>12</v>
      </c>
      <c r="E79" s="3">
        <v>2.95</v>
      </c>
      <c r="F79" s="19">
        <v>746</v>
      </c>
      <c r="G79" s="3">
        <v>0.47</v>
      </c>
      <c r="H79" t="e" vm="5">
        <v>#VALUE!</v>
      </c>
      <c r="I79" t="e" cm="1" vm="6">
        <f t="array" aca="1" ref="I79" ca="1">_FV(H79,"Country/region",TRUE)</f>
        <v>#VALUE!</v>
      </c>
      <c r="J79" t="s">
        <v>22</v>
      </c>
      <c r="K79" t="s">
        <v>23</v>
      </c>
      <c r="L79" t="s">
        <v>21</v>
      </c>
      <c r="M79">
        <f>Table1[[#This Row],[Price]]*Table1[[#This Row],[Quantity]]</f>
        <v>2200.7000000000003</v>
      </c>
    </row>
    <row r="80" spans="2:13" x14ac:dyDescent="0.25">
      <c r="B80" s="3">
        <v>10534</v>
      </c>
      <c r="C80" s="4">
        <v>44888</v>
      </c>
      <c r="D80" t="s">
        <v>13</v>
      </c>
      <c r="E80" s="3">
        <v>4.99</v>
      </c>
      <c r="F80" s="19">
        <v>201</v>
      </c>
      <c r="G80" s="3">
        <v>2.25</v>
      </c>
      <c r="H80" t="e" vm="3">
        <v>#VALUE!</v>
      </c>
      <c r="I80" t="e" cm="1" vm="4">
        <f t="array" aca="1" ref="I80" ca="1">_FV(H80,"Country/region",TRUE)</f>
        <v>#VALUE!</v>
      </c>
      <c r="J80" t="s">
        <v>22</v>
      </c>
      <c r="K80" t="s">
        <v>23</v>
      </c>
      <c r="L80" t="s">
        <v>20</v>
      </c>
      <c r="M80">
        <f>Table1[[#This Row],[Price]]*Table1[[#This Row],[Quantity]]</f>
        <v>1002.99</v>
      </c>
    </row>
    <row r="81" spans="2:13" x14ac:dyDescent="0.25">
      <c r="B81" s="3">
        <v>10535</v>
      </c>
      <c r="C81" s="4">
        <v>44889</v>
      </c>
      <c r="D81" t="s">
        <v>15</v>
      </c>
      <c r="E81" s="3">
        <v>12.99</v>
      </c>
      <c r="F81" s="19">
        <v>478</v>
      </c>
      <c r="G81" s="3">
        <v>4.32</v>
      </c>
      <c r="H81" t="e" vm="3">
        <v>#VALUE!</v>
      </c>
      <c r="I81" t="e" cm="1" vm="4">
        <f t="array" aca="1" ref="I81" ca="1">_FV(H81,"Country/region",TRUE)</f>
        <v>#VALUE!</v>
      </c>
      <c r="J81" t="s">
        <v>22</v>
      </c>
      <c r="K81" t="s">
        <v>16</v>
      </c>
      <c r="L81" t="s">
        <v>20</v>
      </c>
      <c r="M81">
        <f>Table1[[#This Row],[Price]]*Table1[[#This Row],[Quantity]]</f>
        <v>6209.22</v>
      </c>
    </row>
    <row r="82" spans="2:13" x14ac:dyDescent="0.25">
      <c r="B82" s="3">
        <v>10536</v>
      </c>
      <c r="C82" s="4">
        <v>44889</v>
      </c>
      <c r="D82" t="s">
        <v>18</v>
      </c>
      <c r="E82" s="3">
        <v>9.9499999999999993</v>
      </c>
      <c r="F82" s="19">
        <v>202</v>
      </c>
      <c r="G82" s="3">
        <v>2.85</v>
      </c>
      <c r="H82" t="e" vm="3">
        <v>#VALUE!</v>
      </c>
      <c r="I82" t="e" cm="1" vm="4">
        <f t="array" aca="1" ref="I82" ca="1">_FV(H82,"Country/region",TRUE)</f>
        <v>#VALUE!</v>
      </c>
      <c r="J82" t="s">
        <v>22</v>
      </c>
      <c r="K82" t="s">
        <v>16</v>
      </c>
      <c r="L82" t="s">
        <v>20</v>
      </c>
      <c r="M82">
        <f>Table1[[#This Row],[Price]]*Table1[[#This Row],[Quantity]]</f>
        <v>2009.8999999999999</v>
      </c>
    </row>
    <row r="83" spans="2:13" x14ac:dyDescent="0.25">
      <c r="B83" s="3">
        <v>10537</v>
      </c>
      <c r="C83" s="4">
        <v>44889</v>
      </c>
      <c r="D83" t="s">
        <v>9</v>
      </c>
      <c r="E83" s="3">
        <v>3.49</v>
      </c>
      <c r="F83" s="19">
        <v>631</v>
      </c>
      <c r="G83" s="3">
        <v>0.88</v>
      </c>
      <c r="H83" t="e" vm="3">
        <v>#VALUE!</v>
      </c>
      <c r="I83" t="e" cm="1" vm="4">
        <f t="array" aca="1" ref="I83" ca="1">_FV(H83,"Country/region",TRUE)</f>
        <v>#VALUE!</v>
      </c>
      <c r="J83" t="s">
        <v>22</v>
      </c>
      <c r="K83" t="s">
        <v>16</v>
      </c>
      <c r="L83" t="s">
        <v>20</v>
      </c>
      <c r="M83">
        <f>Table1[[#This Row],[Price]]*Table1[[#This Row],[Quantity]]</f>
        <v>2202.19</v>
      </c>
    </row>
    <row r="84" spans="2:13" x14ac:dyDescent="0.25">
      <c r="B84" s="3">
        <v>10538</v>
      </c>
      <c r="C84" s="4">
        <v>44889</v>
      </c>
      <c r="D84" t="s">
        <v>12</v>
      </c>
      <c r="E84" s="3">
        <v>2.95</v>
      </c>
      <c r="F84" s="19">
        <v>746</v>
      </c>
      <c r="G84" s="3">
        <v>0.47</v>
      </c>
      <c r="H84" t="e" vm="3">
        <v>#VALUE!</v>
      </c>
      <c r="I84" t="e" cm="1" vm="4">
        <f t="array" aca="1" ref="I84" ca="1">_FV(H84,"Country/region",TRUE)</f>
        <v>#VALUE!</v>
      </c>
      <c r="J84" t="s">
        <v>22</v>
      </c>
      <c r="K84" t="s">
        <v>16</v>
      </c>
      <c r="L84" t="s">
        <v>20</v>
      </c>
      <c r="M84">
        <f>Table1[[#This Row],[Price]]*Table1[[#This Row],[Quantity]]</f>
        <v>2200.7000000000003</v>
      </c>
    </row>
    <row r="85" spans="2:13" x14ac:dyDescent="0.25">
      <c r="B85" s="3">
        <v>10539</v>
      </c>
      <c r="C85" s="4">
        <v>44889</v>
      </c>
      <c r="D85" t="s">
        <v>13</v>
      </c>
      <c r="E85" s="3">
        <v>4.99</v>
      </c>
      <c r="F85" s="19">
        <v>201</v>
      </c>
      <c r="G85" s="3">
        <v>2.25</v>
      </c>
      <c r="H85" t="e" vm="3">
        <v>#VALUE!</v>
      </c>
      <c r="I85" t="e" cm="1" vm="4">
        <f t="array" aca="1" ref="I85" ca="1">_FV(H85,"Country/region",TRUE)</f>
        <v>#VALUE!</v>
      </c>
      <c r="J85" t="s">
        <v>22</v>
      </c>
      <c r="K85" t="s">
        <v>16</v>
      </c>
      <c r="L85" t="s">
        <v>20</v>
      </c>
      <c r="M85">
        <f>Table1[[#This Row],[Price]]*Table1[[#This Row],[Quantity]]</f>
        <v>1002.99</v>
      </c>
    </row>
    <row r="86" spans="2:13" x14ac:dyDescent="0.25">
      <c r="B86" s="3">
        <v>10540</v>
      </c>
      <c r="C86" s="4">
        <v>44890</v>
      </c>
      <c r="D86" t="s">
        <v>15</v>
      </c>
      <c r="E86" s="3">
        <v>12.99</v>
      </c>
      <c r="F86" s="19">
        <v>462</v>
      </c>
      <c r="G86" s="3">
        <v>4.32</v>
      </c>
      <c r="H86" t="e" vm="3">
        <v>#VALUE!</v>
      </c>
      <c r="I86" t="e" cm="1" vm="4">
        <f t="array" aca="1" ref="I86" ca="1">_FV(H86,"Country/region",TRUE)</f>
        <v>#VALUE!</v>
      </c>
      <c r="J86" t="s">
        <v>22</v>
      </c>
      <c r="K86" t="s">
        <v>16</v>
      </c>
      <c r="L86" t="s">
        <v>20</v>
      </c>
      <c r="M86">
        <f>Table1[[#This Row],[Price]]*Table1[[#This Row],[Quantity]]</f>
        <v>6001.38</v>
      </c>
    </row>
    <row r="87" spans="2:13" x14ac:dyDescent="0.25">
      <c r="B87" s="3">
        <v>10541</v>
      </c>
      <c r="C87" s="4">
        <v>44890</v>
      </c>
      <c r="D87" t="s">
        <v>18</v>
      </c>
      <c r="E87" s="3">
        <v>9.9499999999999993</v>
      </c>
      <c r="F87" s="19">
        <v>202</v>
      </c>
      <c r="G87" s="3">
        <v>2.85</v>
      </c>
      <c r="H87" t="e" vm="1">
        <v>#VALUE!</v>
      </c>
      <c r="I87" t="e" cm="1" vm="2">
        <f t="array" aca="1" ref="I87" ca="1">_FV(H87,"Country/region",TRUE)</f>
        <v>#VALUE!</v>
      </c>
      <c r="J87" t="s">
        <v>22</v>
      </c>
      <c r="K87" t="s">
        <v>16</v>
      </c>
      <c r="L87" t="s">
        <v>24</v>
      </c>
      <c r="M87">
        <f>Table1[[#This Row],[Price]]*Table1[[#This Row],[Quantity]]</f>
        <v>2009.8999999999999</v>
      </c>
    </row>
    <row r="88" spans="2:13" x14ac:dyDescent="0.25">
      <c r="B88" s="3">
        <v>10542</v>
      </c>
      <c r="C88" s="4">
        <v>44890</v>
      </c>
      <c r="D88" t="s">
        <v>9</v>
      </c>
      <c r="E88" s="3">
        <v>3.49</v>
      </c>
      <c r="F88" s="19">
        <v>631</v>
      </c>
      <c r="G88" s="3">
        <v>0.88</v>
      </c>
      <c r="H88" t="e" vm="1">
        <v>#VALUE!</v>
      </c>
      <c r="I88" t="e" cm="1" vm="2">
        <f t="array" aca="1" ref="I88" ca="1">_FV(H88,"Country/region",TRUE)</f>
        <v>#VALUE!</v>
      </c>
      <c r="J88" t="s">
        <v>22</v>
      </c>
      <c r="K88" t="s">
        <v>16</v>
      </c>
      <c r="L88" t="s">
        <v>24</v>
      </c>
      <c r="M88">
        <f>Table1[[#This Row],[Price]]*Table1[[#This Row],[Quantity]]</f>
        <v>2202.19</v>
      </c>
    </row>
    <row r="89" spans="2:13" x14ac:dyDescent="0.25">
      <c r="B89" s="3">
        <v>10543</v>
      </c>
      <c r="C89" s="4">
        <v>44890</v>
      </c>
      <c r="D89" t="s">
        <v>12</v>
      </c>
      <c r="E89" s="3">
        <v>2.95</v>
      </c>
      <c r="F89" s="19">
        <v>746</v>
      </c>
      <c r="G89" s="3">
        <v>0.47</v>
      </c>
      <c r="H89" t="e" vm="1">
        <v>#VALUE!</v>
      </c>
      <c r="I89" t="e" cm="1" vm="2">
        <f t="array" aca="1" ref="I89" ca="1">_FV(H89,"Country/region",TRUE)</f>
        <v>#VALUE!</v>
      </c>
      <c r="J89" t="s">
        <v>22</v>
      </c>
      <c r="K89" t="s">
        <v>16</v>
      </c>
      <c r="L89" t="s">
        <v>24</v>
      </c>
      <c r="M89">
        <f>Table1[[#This Row],[Price]]*Table1[[#This Row],[Quantity]]</f>
        <v>2200.7000000000003</v>
      </c>
    </row>
    <row r="90" spans="2:13" x14ac:dyDescent="0.25">
      <c r="B90" s="3">
        <v>10544</v>
      </c>
      <c r="C90" s="4">
        <v>44890</v>
      </c>
      <c r="D90" t="s">
        <v>13</v>
      </c>
      <c r="E90" s="3">
        <v>4.99</v>
      </c>
      <c r="F90" s="19">
        <v>201</v>
      </c>
      <c r="G90" s="3">
        <v>2.25</v>
      </c>
      <c r="H90" t="e" vm="1">
        <v>#VALUE!</v>
      </c>
      <c r="I90" t="e" cm="1" vm="2">
        <f t="array" aca="1" ref="I90" ca="1">_FV(H90,"Country/region",TRUE)</f>
        <v>#VALUE!</v>
      </c>
      <c r="J90" t="s">
        <v>22</v>
      </c>
      <c r="K90" t="s">
        <v>16</v>
      </c>
      <c r="L90" t="s">
        <v>24</v>
      </c>
      <c r="M90">
        <f>Table1[[#This Row],[Price]]*Table1[[#This Row],[Quantity]]</f>
        <v>1002.99</v>
      </c>
    </row>
    <row r="91" spans="2:13" x14ac:dyDescent="0.25">
      <c r="B91" s="3">
        <v>10545</v>
      </c>
      <c r="C91" s="4">
        <v>44891</v>
      </c>
      <c r="D91" t="s">
        <v>15</v>
      </c>
      <c r="E91" s="3">
        <v>12.99</v>
      </c>
      <c r="F91" s="19">
        <v>447</v>
      </c>
      <c r="G91" s="3">
        <v>4.32</v>
      </c>
      <c r="H91" t="e" vm="1">
        <v>#VALUE!</v>
      </c>
      <c r="I91" t="e" cm="1" vm="2">
        <f t="array" aca="1" ref="I91" ca="1">_FV(H91,"Country/region",TRUE)</f>
        <v>#VALUE!</v>
      </c>
      <c r="J91" t="s">
        <v>22</v>
      </c>
      <c r="K91" t="s">
        <v>16</v>
      </c>
      <c r="L91" t="s">
        <v>24</v>
      </c>
      <c r="M91">
        <f>Table1[[#This Row],[Price]]*Table1[[#This Row],[Quantity]]</f>
        <v>5806.53</v>
      </c>
    </row>
    <row r="92" spans="2:13" x14ac:dyDescent="0.25">
      <c r="B92" s="3">
        <v>10546</v>
      </c>
      <c r="C92" s="4">
        <v>44891</v>
      </c>
      <c r="D92" t="s">
        <v>18</v>
      </c>
      <c r="E92" s="3">
        <v>9.9499999999999993</v>
      </c>
      <c r="F92" s="19">
        <v>202</v>
      </c>
      <c r="G92" s="3">
        <v>2.85</v>
      </c>
      <c r="H92" t="e" vm="1">
        <v>#VALUE!</v>
      </c>
      <c r="I92" t="e" cm="1" vm="2">
        <f t="array" aca="1" ref="I92" ca="1">_FV(H92,"Country/region",TRUE)</f>
        <v>#VALUE!</v>
      </c>
      <c r="J92" t="s">
        <v>22</v>
      </c>
      <c r="K92" t="s">
        <v>16</v>
      </c>
      <c r="L92" t="s">
        <v>24</v>
      </c>
      <c r="M92">
        <f>Table1[[#This Row],[Price]]*Table1[[#This Row],[Quantity]]</f>
        <v>2009.8999999999999</v>
      </c>
    </row>
    <row r="93" spans="2:13" x14ac:dyDescent="0.25">
      <c r="B93" s="3">
        <v>10547</v>
      </c>
      <c r="C93" s="4">
        <v>44891</v>
      </c>
      <c r="D93" t="s">
        <v>9</v>
      </c>
      <c r="E93" s="3">
        <v>3.49</v>
      </c>
      <c r="F93" s="19">
        <v>631</v>
      </c>
      <c r="G93" s="3">
        <v>0.88</v>
      </c>
      <c r="H93" t="e" vm="1">
        <v>#VALUE!</v>
      </c>
      <c r="I93" t="e" cm="1" vm="2">
        <f t="array" aca="1" ref="I93" ca="1">_FV(H93,"Country/region",TRUE)</f>
        <v>#VALUE!</v>
      </c>
      <c r="J93" t="s">
        <v>22</v>
      </c>
      <c r="K93" t="s">
        <v>16</v>
      </c>
      <c r="L93" t="s">
        <v>24</v>
      </c>
      <c r="M93">
        <f>Table1[[#This Row],[Price]]*Table1[[#This Row],[Quantity]]</f>
        <v>2202.19</v>
      </c>
    </row>
    <row r="94" spans="2:13" x14ac:dyDescent="0.25">
      <c r="B94" s="3">
        <v>10548</v>
      </c>
      <c r="C94" s="4">
        <v>44891</v>
      </c>
      <c r="D94" t="s">
        <v>12</v>
      </c>
      <c r="E94" s="3">
        <v>2.95</v>
      </c>
      <c r="F94" s="19">
        <v>746</v>
      </c>
      <c r="G94" s="3">
        <v>0.47</v>
      </c>
      <c r="H94" t="e" vm="1">
        <v>#VALUE!</v>
      </c>
      <c r="I94" t="e" cm="1" vm="2">
        <f t="array" aca="1" ref="I94" ca="1">_FV(H94,"Country/region",TRUE)</f>
        <v>#VALUE!</v>
      </c>
      <c r="J94" t="s">
        <v>22</v>
      </c>
      <c r="K94" t="s">
        <v>16</v>
      </c>
      <c r="L94" t="s">
        <v>24</v>
      </c>
      <c r="M94">
        <f>Table1[[#This Row],[Price]]*Table1[[#This Row],[Quantity]]</f>
        <v>2200.7000000000003</v>
      </c>
    </row>
    <row r="95" spans="2:13" x14ac:dyDescent="0.25">
      <c r="B95" s="3">
        <v>10549</v>
      </c>
      <c r="C95" s="4">
        <v>44891</v>
      </c>
      <c r="D95" t="s">
        <v>13</v>
      </c>
      <c r="E95" s="3">
        <v>4.99</v>
      </c>
      <c r="F95" s="19">
        <v>201</v>
      </c>
      <c r="G95" s="3">
        <v>2.25</v>
      </c>
      <c r="H95" t="e" vm="1">
        <v>#VALUE!</v>
      </c>
      <c r="I95" t="e" cm="1" vm="2">
        <f t="array" aca="1" ref="I95" ca="1">_FV(H95,"Country/region",TRUE)</f>
        <v>#VALUE!</v>
      </c>
      <c r="J95" t="s">
        <v>22</v>
      </c>
      <c r="K95" t="s">
        <v>16</v>
      </c>
      <c r="L95" t="s">
        <v>24</v>
      </c>
      <c r="M95">
        <f>Table1[[#This Row],[Price]]*Table1[[#This Row],[Quantity]]</f>
        <v>1002.99</v>
      </c>
    </row>
    <row r="96" spans="2:13" x14ac:dyDescent="0.25">
      <c r="B96" s="3">
        <v>10550</v>
      </c>
      <c r="C96" s="4">
        <v>44892</v>
      </c>
      <c r="D96" t="s">
        <v>15</v>
      </c>
      <c r="E96" s="3">
        <v>12.99</v>
      </c>
      <c r="F96" s="19">
        <v>462</v>
      </c>
      <c r="G96" s="3">
        <v>4.32</v>
      </c>
      <c r="H96" t="e" vm="1">
        <v>#VALUE!</v>
      </c>
      <c r="I96" t="e" cm="1" vm="2">
        <f t="array" aca="1" ref="I96" ca="1">_FV(H96,"Country/region",TRUE)</f>
        <v>#VALUE!</v>
      </c>
      <c r="J96" t="s">
        <v>22</v>
      </c>
      <c r="K96" t="s">
        <v>16</v>
      </c>
      <c r="L96" t="s">
        <v>24</v>
      </c>
      <c r="M96">
        <f>Table1[[#This Row],[Price]]*Table1[[#This Row],[Quantity]]</f>
        <v>6001.38</v>
      </c>
    </row>
    <row r="97" spans="2:13" x14ac:dyDescent="0.25">
      <c r="B97" s="3">
        <v>10551</v>
      </c>
      <c r="C97" s="4">
        <v>44892</v>
      </c>
      <c r="D97" t="s">
        <v>18</v>
      </c>
      <c r="E97" s="3">
        <v>9.9499999999999993</v>
      </c>
      <c r="F97" s="19">
        <v>202</v>
      </c>
      <c r="G97" s="3">
        <v>2.85</v>
      </c>
      <c r="H97" t="e" vm="1">
        <v>#VALUE!</v>
      </c>
      <c r="I97" t="e" cm="1" vm="2">
        <f t="array" aca="1" ref="I97" ca="1">_FV(H97,"Country/region",TRUE)</f>
        <v>#VALUE!</v>
      </c>
      <c r="J97" t="s">
        <v>22</v>
      </c>
      <c r="K97" t="s">
        <v>16</v>
      </c>
      <c r="L97" t="s">
        <v>24</v>
      </c>
      <c r="M97">
        <f>Table1[[#This Row],[Price]]*Table1[[#This Row],[Quantity]]</f>
        <v>2009.8999999999999</v>
      </c>
    </row>
    <row r="98" spans="2:13" x14ac:dyDescent="0.25">
      <c r="B98" s="3">
        <v>10552</v>
      </c>
      <c r="C98" s="4">
        <v>44892</v>
      </c>
      <c r="D98" t="s">
        <v>9</v>
      </c>
      <c r="E98" s="3">
        <v>3.49</v>
      </c>
      <c r="F98" s="19">
        <v>631</v>
      </c>
      <c r="G98" s="3">
        <v>0.88</v>
      </c>
      <c r="H98" t="e" vm="1">
        <v>#VALUE!</v>
      </c>
      <c r="I98" t="e" cm="1" vm="2">
        <f t="array" aca="1" ref="I98" ca="1">_FV(H98,"Country/region",TRUE)</f>
        <v>#VALUE!</v>
      </c>
      <c r="J98" t="s">
        <v>10</v>
      </c>
      <c r="K98" t="s">
        <v>16</v>
      </c>
      <c r="L98" t="s">
        <v>24</v>
      </c>
      <c r="M98">
        <f>Table1[[#This Row],[Price]]*Table1[[#This Row],[Quantity]]</f>
        <v>2202.19</v>
      </c>
    </row>
    <row r="99" spans="2:13" x14ac:dyDescent="0.25">
      <c r="B99" s="3">
        <v>10553</v>
      </c>
      <c r="C99" s="4">
        <v>44892</v>
      </c>
      <c r="D99" t="s">
        <v>12</v>
      </c>
      <c r="E99" s="3">
        <v>2.95</v>
      </c>
      <c r="F99" s="19">
        <v>746</v>
      </c>
      <c r="G99" s="3">
        <v>0.47</v>
      </c>
      <c r="H99" t="e" vm="1">
        <v>#VALUE!</v>
      </c>
      <c r="I99" t="e" cm="1" vm="2">
        <f t="array" aca="1" ref="I99" ca="1">_FV(H99,"Country/region",TRUE)</f>
        <v>#VALUE!</v>
      </c>
      <c r="J99" t="s">
        <v>10</v>
      </c>
      <c r="K99" t="s">
        <v>16</v>
      </c>
      <c r="L99" t="s">
        <v>24</v>
      </c>
      <c r="M99">
        <f>Table1[[#This Row],[Price]]*Table1[[#This Row],[Quantity]]</f>
        <v>2200.7000000000003</v>
      </c>
    </row>
    <row r="100" spans="2:13" x14ac:dyDescent="0.25">
      <c r="B100" s="3">
        <v>10554</v>
      </c>
      <c r="C100" s="4">
        <v>44892</v>
      </c>
      <c r="D100" t="s">
        <v>13</v>
      </c>
      <c r="E100" s="3">
        <v>4.99</v>
      </c>
      <c r="F100" s="19">
        <v>201</v>
      </c>
      <c r="G100" s="3">
        <v>2.25</v>
      </c>
      <c r="H100" t="e" vm="1">
        <v>#VALUE!</v>
      </c>
      <c r="I100" t="e" cm="1" vm="2">
        <f t="array" aca="1" ref="I100" ca="1">_FV(H100,"Country/region",TRUE)</f>
        <v>#VALUE!</v>
      </c>
      <c r="J100" t="s">
        <v>10</v>
      </c>
      <c r="K100" t="s">
        <v>16</v>
      </c>
      <c r="L100" t="s">
        <v>24</v>
      </c>
      <c r="M100">
        <f>Table1[[#This Row],[Price]]*Table1[[#This Row],[Quantity]]</f>
        <v>1002.99</v>
      </c>
    </row>
    <row r="101" spans="2:13" x14ac:dyDescent="0.25">
      <c r="B101" s="3">
        <v>10555</v>
      </c>
      <c r="C101" s="4">
        <v>44893</v>
      </c>
      <c r="D101" t="s">
        <v>15</v>
      </c>
      <c r="E101" s="3">
        <v>12.99</v>
      </c>
      <c r="F101" s="19">
        <v>478</v>
      </c>
      <c r="G101" s="3">
        <v>4.32</v>
      </c>
      <c r="H101" t="e" vm="1">
        <v>#VALUE!</v>
      </c>
      <c r="I101" t="e" cm="1" vm="2">
        <f t="array" aca="1" ref="I101" ca="1">_FV(H101,"Country/region",TRUE)</f>
        <v>#VALUE!</v>
      </c>
      <c r="J101" t="s">
        <v>10</v>
      </c>
      <c r="K101" t="s">
        <v>16</v>
      </c>
      <c r="L101" t="s">
        <v>24</v>
      </c>
      <c r="M101">
        <f>Table1[[#This Row],[Price]]*Table1[[#This Row],[Quantity]]</f>
        <v>6209.22</v>
      </c>
    </row>
    <row r="102" spans="2:13" x14ac:dyDescent="0.25">
      <c r="B102" s="3">
        <v>10556</v>
      </c>
      <c r="C102" s="4">
        <v>44893</v>
      </c>
      <c r="D102" t="s">
        <v>18</v>
      </c>
      <c r="E102" s="3">
        <v>9.9499999999999993</v>
      </c>
      <c r="F102" s="19">
        <v>202</v>
      </c>
      <c r="G102" s="3">
        <v>2.85</v>
      </c>
      <c r="H102" t="e" vm="1">
        <v>#VALUE!</v>
      </c>
      <c r="I102" t="e" cm="1" vm="2">
        <f t="array" aca="1" ref="I102" ca="1">_FV(H102,"Country/region",TRUE)</f>
        <v>#VALUE!</v>
      </c>
      <c r="J102" t="s">
        <v>10</v>
      </c>
      <c r="K102" t="s">
        <v>16</v>
      </c>
      <c r="L102" t="s">
        <v>24</v>
      </c>
      <c r="M102">
        <f>Table1[[#This Row],[Price]]*Table1[[#This Row],[Quantity]]</f>
        <v>2009.8999999999999</v>
      </c>
    </row>
    <row r="103" spans="2:13" x14ac:dyDescent="0.25">
      <c r="B103" s="3">
        <v>10557</v>
      </c>
      <c r="C103" s="4">
        <v>44893</v>
      </c>
      <c r="D103" t="s">
        <v>9</v>
      </c>
      <c r="E103" s="3">
        <v>3.49</v>
      </c>
      <c r="F103" s="19">
        <v>631</v>
      </c>
      <c r="G103" s="3">
        <v>0.88</v>
      </c>
      <c r="H103" t="e" vm="1">
        <v>#VALUE!</v>
      </c>
      <c r="I103" t="e" cm="1" vm="2">
        <f t="array" aca="1" ref="I103" ca="1">_FV(H103,"Country/region",TRUE)</f>
        <v>#VALUE!</v>
      </c>
      <c r="J103" t="s">
        <v>10</v>
      </c>
      <c r="K103" t="s">
        <v>16</v>
      </c>
      <c r="L103" t="s">
        <v>24</v>
      </c>
      <c r="M103">
        <f>Table1[[#This Row],[Price]]*Table1[[#This Row],[Quantity]]</f>
        <v>2202.19</v>
      </c>
    </row>
    <row r="104" spans="2:13" x14ac:dyDescent="0.25">
      <c r="B104" s="3">
        <v>10558</v>
      </c>
      <c r="C104" s="4">
        <v>44893</v>
      </c>
      <c r="D104" t="s">
        <v>12</v>
      </c>
      <c r="E104" s="3">
        <v>2.95</v>
      </c>
      <c r="F104" s="19">
        <v>678</v>
      </c>
      <c r="G104" s="3">
        <v>0.47</v>
      </c>
      <c r="H104" t="e" vm="1">
        <v>#VALUE!</v>
      </c>
      <c r="I104" t="e" cm="1" vm="2">
        <f t="array" aca="1" ref="I104" ca="1">_FV(H104,"Country/region",TRUE)</f>
        <v>#VALUE!</v>
      </c>
      <c r="J104" t="s">
        <v>10</v>
      </c>
      <c r="K104" t="s">
        <v>16</v>
      </c>
      <c r="L104" t="s">
        <v>24</v>
      </c>
      <c r="M104">
        <f>Table1[[#This Row],[Price]]*Table1[[#This Row],[Quantity]]</f>
        <v>2000.1000000000001</v>
      </c>
    </row>
    <row r="105" spans="2:13" x14ac:dyDescent="0.25">
      <c r="B105" s="3">
        <v>10559</v>
      </c>
      <c r="C105" s="4">
        <v>44893</v>
      </c>
      <c r="D105" t="s">
        <v>13</v>
      </c>
      <c r="E105" s="3">
        <v>4.99</v>
      </c>
      <c r="F105" s="19">
        <v>201</v>
      </c>
      <c r="G105" s="3">
        <v>2.25</v>
      </c>
      <c r="H105" t="e" vm="1">
        <v>#VALUE!</v>
      </c>
      <c r="I105" t="e" cm="1" vm="2">
        <f t="array" aca="1" ref="I105" ca="1">_FV(H105,"Country/region",TRUE)</f>
        <v>#VALUE!</v>
      </c>
      <c r="J105" t="s">
        <v>10</v>
      </c>
      <c r="K105" t="s">
        <v>16</v>
      </c>
      <c r="L105" t="s">
        <v>24</v>
      </c>
      <c r="M105">
        <f>Table1[[#This Row],[Price]]*Table1[[#This Row],[Quantity]]</f>
        <v>1002.99</v>
      </c>
    </row>
    <row r="106" spans="2:13" x14ac:dyDescent="0.25">
      <c r="B106" s="3">
        <v>10560</v>
      </c>
      <c r="C106" s="4">
        <v>44894</v>
      </c>
      <c r="D106" t="s">
        <v>15</v>
      </c>
      <c r="E106" s="3">
        <v>12.99</v>
      </c>
      <c r="F106" s="19">
        <v>478</v>
      </c>
      <c r="G106" s="3">
        <v>4.32</v>
      </c>
      <c r="H106" t="e" vm="1">
        <v>#VALUE!</v>
      </c>
      <c r="I106" t="e" cm="1" vm="2">
        <f t="array" aca="1" ref="I106" ca="1">_FV(H106,"Country/region",TRUE)</f>
        <v>#VALUE!</v>
      </c>
      <c r="J106" t="s">
        <v>10</v>
      </c>
      <c r="K106" t="s">
        <v>16</v>
      </c>
      <c r="L106" t="s">
        <v>24</v>
      </c>
      <c r="M106">
        <f>Table1[[#This Row],[Price]]*Table1[[#This Row],[Quantity]]</f>
        <v>6209.22</v>
      </c>
    </row>
    <row r="107" spans="2:13" x14ac:dyDescent="0.25">
      <c r="B107" s="3">
        <v>10561</v>
      </c>
      <c r="C107" s="4">
        <v>44894</v>
      </c>
      <c r="D107" t="s">
        <v>18</v>
      </c>
      <c r="E107" s="3">
        <v>9.9499999999999993</v>
      </c>
      <c r="F107" s="19">
        <v>202</v>
      </c>
      <c r="G107" s="3">
        <v>2.85</v>
      </c>
      <c r="H107" t="e" vm="1">
        <v>#VALUE!</v>
      </c>
      <c r="I107" t="e" cm="1" vm="2">
        <f t="array" aca="1" ref="I107" ca="1">_FV(H107,"Country/region",TRUE)</f>
        <v>#VALUE!</v>
      </c>
      <c r="J107" t="s">
        <v>10</v>
      </c>
      <c r="K107" t="s">
        <v>16</v>
      </c>
      <c r="L107" t="s">
        <v>24</v>
      </c>
      <c r="M107">
        <f>Table1[[#This Row],[Price]]*Table1[[#This Row],[Quantity]]</f>
        <v>2009.8999999999999</v>
      </c>
    </row>
    <row r="108" spans="2:13" x14ac:dyDescent="0.25">
      <c r="B108" s="3">
        <v>10562</v>
      </c>
      <c r="C108" s="4">
        <v>44894</v>
      </c>
      <c r="D108" t="s">
        <v>9</v>
      </c>
      <c r="E108" s="3">
        <v>3.49</v>
      </c>
      <c r="F108" s="19">
        <v>631</v>
      </c>
      <c r="G108" s="3">
        <v>0.88</v>
      </c>
      <c r="H108" t="e" vm="1">
        <v>#VALUE!</v>
      </c>
      <c r="I108" t="e" cm="1" vm="2">
        <f t="array" aca="1" ref="I108" ca="1">_FV(H108,"Country/region",TRUE)</f>
        <v>#VALUE!</v>
      </c>
      <c r="J108" t="s">
        <v>10</v>
      </c>
      <c r="K108" t="s">
        <v>16</v>
      </c>
      <c r="L108" t="s">
        <v>24</v>
      </c>
      <c r="M108">
        <f>Table1[[#This Row],[Price]]*Table1[[#This Row],[Quantity]]</f>
        <v>2202.19</v>
      </c>
    </row>
    <row r="109" spans="2:13" x14ac:dyDescent="0.25">
      <c r="B109" s="3">
        <v>10563</v>
      </c>
      <c r="C109" s="4">
        <v>44894</v>
      </c>
      <c r="D109" t="s">
        <v>12</v>
      </c>
      <c r="E109" s="3">
        <v>2.95</v>
      </c>
      <c r="F109" s="19">
        <v>678</v>
      </c>
      <c r="G109" s="3">
        <v>0.47</v>
      </c>
      <c r="H109" t="e" vm="1">
        <v>#VALUE!</v>
      </c>
      <c r="I109" t="e" cm="1" vm="2">
        <f t="array" aca="1" ref="I109" ca="1">_FV(H109,"Country/region",TRUE)</f>
        <v>#VALUE!</v>
      </c>
      <c r="J109" t="s">
        <v>10</v>
      </c>
      <c r="K109" t="s">
        <v>16</v>
      </c>
      <c r="L109" t="s">
        <v>24</v>
      </c>
      <c r="M109">
        <f>Table1[[#This Row],[Price]]*Table1[[#This Row],[Quantity]]</f>
        <v>2000.1000000000001</v>
      </c>
    </row>
    <row r="110" spans="2:13" x14ac:dyDescent="0.25">
      <c r="B110" s="3">
        <v>10564</v>
      </c>
      <c r="C110" s="4">
        <v>44894</v>
      </c>
      <c r="D110" t="s">
        <v>13</v>
      </c>
      <c r="E110" s="3">
        <v>4.99</v>
      </c>
      <c r="F110" s="19">
        <v>201</v>
      </c>
      <c r="G110" s="3">
        <v>2.25</v>
      </c>
      <c r="H110" t="e" vm="1">
        <v>#VALUE!</v>
      </c>
      <c r="I110" t="e" cm="1" vm="2">
        <f t="array" aca="1" ref="I110" ca="1">_FV(H110,"Country/region",TRUE)</f>
        <v>#VALUE!</v>
      </c>
      <c r="J110" t="s">
        <v>10</v>
      </c>
      <c r="K110" t="s">
        <v>16</v>
      </c>
      <c r="L110" t="s">
        <v>24</v>
      </c>
      <c r="M110">
        <f>Table1[[#This Row],[Price]]*Table1[[#This Row],[Quantity]]</f>
        <v>1002.99</v>
      </c>
    </row>
    <row r="111" spans="2:13" x14ac:dyDescent="0.25">
      <c r="B111" s="3">
        <v>10565</v>
      </c>
      <c r="C111" s="4">
        <v>44895</v>
      </c>
      <c r="D111" t="s">
        <v>15</v>
      </c>
      <c r="E111" s="3">
        <v>12.99</v>
      </c>
      <c r="F111" s="19">
        <v>493</v>
      </c>
      <c r="G111" s="3">
        <v>4.32</v>
      </c>
      <c r="H111" t="e" vm="1">
        <v>#VALUE!</v>
      </c>
      <c r="I111" t="e" cm="1" vm="2">
        <f t="array" aca="1" ref="I111" ca="1">_FV(H111,"Country/region",TRUE)</f>
        <v>#VALUE!</v>
      </c>
      <c r="J111" t="s">
        <v>10</v>
      </c>
      <c r="K111" t="s">
        <v>16</v>
      </c>
      <c r="L111" t="s">
        <v>24</v>
      </c>
      <c r="M111">
        <f>Table1[[#This Row],[Price]]*Table1[[#This Row],[Quantity]]</f>
        <v>6404.07</v>
      </c>
    </row>
    <row r="112" spans="2:13" x14ac:dyDescent="0.25">
      <c r="B112" s="3">
        <v>10566</v>
      </c>
      <c r="C112" s="4">
        <v>44895</v>
      </c>
      <c r="D112" t="s">
        <v>18</v>
      </c>
      <c r="E112" s="3">
        <v>9.9499999999999993</v>
      </c>
      <c r="F112" s="19">
        <v>202</v>
      </c>
      <c r="G112" s="3">
        <v>2.85</v>
      </c>
      <c r="H112" t="e" vm="1">
        <v>#VALUE!</v>
      </c>
      <c r="I112" t="e" cm="1" vm="2">
        <f t="array" aca="1" ref="I112" ca="1">_FV(H112,"Country/region",TRUE)</f>
        <v>#VALUE!</v>
      </c>
      <c r="J112" t="s">
        <v>10</v>
      </c>
      <c r="K112" t="s">
        <v>16</v>
      </c>
      <c r="L112" t="s">
        <v>24</v>
      </c>
      <c r="M112">
        <f>Table1[[#This Row],[Price]]*Table1[[#This Row],[Quantity]]</f>
        <v>2009.8999999999999</v>
      </c>
    </row>
    <row r="113" spans="2:13" x14ac:dyDescent="0.25">
      <c r="B113" s="3">
        <v>10567</v>
      </c>
      <c r="C113" s="4">
        <v>44895</v>
      </c>
      <c r="D113" t="s">
        <v>9</v>
      </c>
      <c r="E113" s="3">
        <v>3.49</v>
      </c>
      <c r="F113" s="19">
        <v>631</v>
      </c>
      <c r="G113" s="3">
        <v>0.88</v>
      </c>
      <c r="H113" t="e" vm="1">
        <v>#VALUE!</v>
      </c>
      <c r="I113" t="e" cm="1" vm="2">
        <f t="array" aca="1" ref="I113" ca="1">_FV(H113,"Country/region",TRUE)</f>
        <v>#VALUE!</v>
      </c>
      <c r="J113" t="s">
        <v>10</v>
      </c>
      <c r="K113" t="s">
        <v>16</v>
      </c>
      <c r="L113" t="s">
        <v>24</v>
      </c>
      <c r="M113">
        <f>Table1[[#This Row],[Price]]*Table1[[#This Row],[Quantity]]</f>
        <v>2202.19</v>
      </c>
    </row>
    <row r="114" spans="2:13" x14ac:dyDescent="0.25">
      <c r="B114" s="3">
        <v>10568</v>
      </c>
      <c r="C114" s="4">
        <v>44895</v>
      </c>
      <c r="D114" t="s">
        <v>12</v>
      </c>
      <c r="E114" s="3">
        <v>2.95</v>
      </c>
      <c r="F114" s="19">
        <v>678</v>
      </c>
      <c r="G114" s="3">
        <v>0.47</v>
      </c>
      <c r="H114" t="e" vm="1">
        <v>#VALUE!</v>
      </c>
      <c r="I114" t="e" cm="1" vm="2">
        <f t="array" aca="1" ref="I114" ca="1">_FV(H114,"Country/region",TRUE)</f>
        <v>#VALUE!</v>
      </c>
      <c r="J114" t="s">
        <v>10</v>
      </c>
      <c r="K114" t="s">
        <v>16</v>
      </c>
      <c r="L114" t="s">
        <v>24</v>
      </c>
      <c r="M114">
        <f>Table1[[#This Row],[Price]]*Table1[[#This Row],[Quantity]]</f>
        <v>2000.1000000000001</v>
      </c>
    </row>
    <row r="115" spans="2:13" x14ac:dyDescent="0.25">
      <c r="B115" s="3">
        <v>10569</v>
      </c>
      <c r="C115" s="4">
        <v>44895</v>
      </c>
      <c r="D115" t="s">
        <v>13</v>
      </c>
      <c r="E115" s="3">
        <v>4.99</v>
      </c>
      <c r="F115" s="19">
        <v>201</v>
      </c>
      <c r="G115" s="3">
        <v>2.25</v>
      </c>
      <c r="H115" t="e" vm="1">
        <v>#VALUE!</v>
      </c>
      <c r="I115" t="e" cm="1" vm="2">
        <f t="array" aca="1" ref="I115" ca="1">_FV(H115,"Country/region",TRUE)</f>
        <v>#VALUE!</v>
      </c>
      <c r="J115" t="s">
        <v>10</v>
      </c>
      <c r="K115" t="s">
        <v>16</v>
      </c>
      <c r="L115" t="s">
        <v>24</v>
      </c>
      <c r="M115">
        <f>Table1[[#This Row],[Price]]*Table1[[#This Row],[Quantity]]</f>
        <v>1002.99</v>
      </c>
    </row>
    <row r="116" spans="2:13" x14ac:dyDescent="0.25">
      <c r="B116" s="3">
        <v>10570</v>
      </c>
      <c r="C116" s="4">
        <v>44896</v>
      </c>
      <c r="D116" t="s">
        <v>15</v>
      </c>
      <c r="E116" s="3">
        <v>12.99</v>
      </c>
      <c r="F116" s="19">
        <v>493</v>
      </c>
      <c r="G116" s="3">
        <v>4.32</v>
      </c>
      <c r="H116" t="e" vm="1">
        <v>#VALUE!</v>
      </c>
      <c r="I116" t="e" cm="1" vm="2">
        <f t="array" aca="1" ref="I116" ca="1">_FV(H116,"Country/region",TRUE)</f>
        <v>#VALUE!</v>
      </c>
      <c r="J116" t="s">
        <v>10</v>
      </c>
      <c r="K116" t="s">
        <v>16</v>
      </c>
      <c r="L116" t="s">
        <v>24</v>
      </c>
      <c r="M116">
        <f>Table1[[#This Row],[Price]]*Table1[[#This Row],[Quantity]]</f>
        <v>6404.07</v>
      </c>
    </row>
    <row r="117" spans="2:13" x14ac:dyDescent="0.25">
      <c r="B117" s="3">
        <v>10571</v>
      </c>
      <c r="C117" s="4">
        <v>44896</v>
      </c>
      <c r="D117" t="s">
        <v>18</v>
      </c>
      <c r="E117" s="3">
        <v>9.9499999999999993</v>
      </c>
      <c r="F117" s="19">
        <v>202</v>
      </c>
      <c r="G117" s="3">
        <v>2.85</v>
      </c>
      <c r="H117" t="e" vm="1">
        <v>#VALUE!</v>
      </c>
      <c r="I117" t="e" cm="1" vm="2">
        <f t="array" aca="1" ref="I117" ca="1">_FV(H117,"Country/region",TRUE)</f>
        <v>#VALUE!</v>
      </c>
      <c r="J117" t="s">
        <v>10</v>
      </c>
      <c r="K117" t="s">
        <v>16</v>
      </c>
      <c r="L117" t="s">
        <v>24</v>
      </c>
      <c r="M117">
        <f>Table1[[#This Row],[Price]]*Table1[[#This Row],[Quantity]]</f>
        <v>2009.8999999999999</v>
      </c>
    </row>
    <row r="118" spans="2:13" x14ac:dyDescent="0.25">
      <c r="B118" s="3">
        <v>10572</v>
      </c>
      <c r="C118" s="4">
        <v>44896</v>
      </c>
      <c r="D118" t="s">
        <v>9</v>
      </c>
      <c r="E118" s="3">
        <v>3.49</v>
      </c>
      <c r="F118" s="19">
        <v>574</v>
      </c>
      <c r="G118" s="3">
        <v>0.88</v>
      </c>
      <c r="H118" t="e" vm="9">
        <v>#VALUE!</v>
      </c>
      <c r="I118" t="e" cm="1" vm="10">
        <f t="array" aca="1" ref="I118" ca="1">_FV(H118,"Country/region",TRUE)</f>
        <v>#VALUE!</v>
      </c>
      <c r="J118" t="s">
        <v>10</v>
      </c>
      <c r="K118" t="s">
        <v>16</v>
      </c>
      <c r="L118" t="s">
        <v>19</v>
      </c>
      <c r="M118">
        <f>Table1[[#This Row],[Price]]*Table1[[#This Row],[Quantity]]</f>
        <v>2003.2600000000002</v>
      </c>
    </row>
    <row r="119" spans="2:13" x14ac:dyDescent="0.25">
      <c r="B119" s="3">
        <v>10573</v>
      </c>
      <c r="C119" s="4">
        <v>44896</v>
      </c>
      <c r="D119" t="s">
        <v>12</v>
      </c>
      <c r="E119" s="3">
        <v>2.95</v>
      </c>
      <c r="F119" s="19">
        <v>678</v>
      </c>
      <c r="G119" s="3">
        <v>0.47</v>
      </c>
      <c r="H119" t="e" vm="9">
        <v>#VALUE!</v>
      </c>
      <c r="I119" t="e" cm="1" vm="10">
        <f t="array" aca="1" ref="I119" ca="1">_FV(H119,"Country/region",TRUE)</f>
        <v>#VALUE!</v>
      </c>
      <c r="J119" t="s">
        <v>10</v>
      </c>
      <c r="K119" t="s">
        <v>16</v>
      </c>
      <c r="L119" t="s">
        <v>19</v>
      </c>
      <c r="M119">
        <f>Table1[[#This Row],[Price]]*Table1[[#This Row],[Quantity]]</f>
        <v>2000.1000000000001</v>
      </c>
    </row>
    <row r="120" spans="2:13" x14ac:dyDescent="0.25">
      <c r="B120" s="3">
        <v>10574</v>
      </c>
      <c r="C120" s="4">
        <v>44896</v>
      </c>
      <c r="D120" t="s">
        <v>13</v>
      </c>
      <c r="E120" s="3">
        <v>4.99</v>
      </c>
      <c r="F120" s="19">
        <v>201</v>
      </c>
      <c r="G120" s="3">
        <v>2.25</v>
      </c>
      <c r="H120" t="e" vm="9">
        <v>#VALUE!</v>
      </c>
      <c r="I120" t="e" cm="1" vm="10">
        <f t="array" aca="1" ref="I120" ca="1">_FV(H120,"Country/region",TRUE)</f>
        <v>#VALUE!</v>
      </c>
      <c r="J120" t="s">
        <v>10</v>
      </c>
      <c r="K120" t="s">
        <v>16</v>
      </c>
      <c r="L120" t="s">
        <v>19</v>
      </c>
      <c r="M120">
        <f>Table1[[#This Row],[Price]]*Table1[[#This Row],[Quantity]]</f>
        <v>1002.99</v>
      </c>
    </row>
    <row r="121" spans="2:13" x14ac:dyDescent="0.25">
      <c r="B121" s="3">
        <v>10575</v>
      </c>
      <c r="C121" s="4">
        <v>44897</v>
      </c>
      <c r="D121" t="s">
        <v>15</v>
      </c>
      <c r="E121" s="3">
        <v>12.99</v>
      </c>
      <c r="F121" s="19">
        <v>524</v>
      </c>
      <c r="G121" s="3">
        <v>4.32</v>
      </c>
      <c r="H121" t="e" vm="9">
        <v>#VALUE!</v>
      </c>
      <c r="I121" t="e" cm="1" vm="10">
        <f t="array" aca="1" ref="I121" ca="1">_FV(H121,"Country/region",TRUE)</f>
        <v>#VALUE!</v>
      </c>
      <c r="J121" t="s">
        <v>10</v>
      </c>
      <c r="K121" t="s">
        <v>16</v>
      </c>
      <c r="L121" t="s">
        <v>19</v>
      </c>
      <c r="M121">
        <f>Table1[[#This Row],[Price]]*Table1[[#This Row],[Quantity]]</f>
        <v>6806.76</v>
      </c>
    </row>
    <row r="122" spans="2:13" x14ac:dyDescent="0.25">
      <c r="B122" s="3">
        <v>10576</v>
      </c>
      <c r="C122" s="4">
        <v>44897</v>
      </c>
      <c r="D122" t="s">
        <v>18</v>
      </c>
      <c r="E122" s="3">
        <v>9.9499999999999993</v>
      </c>
      <c r="F122" s="19">
        <v>202</v>
      </c>
      <c r="G122" s="3">
        <v>2.85</v>
      </c>
      <c r="H122" t="e" vm="9">
        <v>#VALUE!</v>
      </c>
      <c r="I122" t="e" cm="1" vm="10">
        <f t="array" aca="1" ref="I122" ca="1">_FV(H122,"Country/region",TRUE)</f>
        <v>#VALUE!</v>
      </c>
      <c r="J122" t="s">
        <v>10</v>
      </c>
      <c r="K122" t="s">
        <v>16</v>
      </c>
      <c r="L122" t="s">
        <v>19</v>
      </c>
      <c r="M122">
        <f>Table1[[#This Row],[Price]]*Table1[[#This Row],[Quantity]]</f>
        <v>2009.8999999999999</v>
      </c>
    </row>
    <row r="123" spans="2:13" x14ac:dyDescent="0.25">
      <c r="B123" s="3">
        <v>10577</v>
      </c>
      <c r="C123" s="4">
        <v>44897</v>
      </c>
      <c r="D123" t="s">
        <v>9</v>
      </c>
      <c r="E123" s="3">
        <v>3.49</v>
      </c>
      <c r="F123" s="19">
        <v>631</v>
      </c>
      <c r="G123" s="3">
        <v>0.88</v>
      </c>
      <c r="H123" t="e" vm="9">
        <v>#VALUE!</v>
      </c>
      <c r="I123" t="e" cm="1" vm="10">
        <f t="array" aca="1" ref="I123" ca="1">_FV(H123,"Country/region",TRUE)</f>
        <v>#VALUE!</v>
      </c>
      <c r="J123" t="s">
        <v>10</v>
      </c>
      <c r="K123" t="s">
        <v>16</v>
      </c>
      <c r="L123" t="s">
        <v>19</v>
      </c>
      <c r="M123">
        <f>Table1[[#This Row],[Price]]*Table1[[#This Row],[Quantity]]</f>
        <v>2202.19</v>
      </c>
    </row>
    <row r="124" spans="2:13" x14ac:dyDescent="0.25">
      <c r="B124" s="3">
        <v>10578</v>
      </c>
      <c r="C124" s="4">
        <v>44897</v>
      </c>
      <c r="D124" t="s">
        <v>12</v>
      </c>
      <c r="E124" s="3">
        <v>2.95</v>
      </c>
      <c r="F124" s="19">
        <v>678</v>
      </c>
      <c r="G124" s="3">
        <v>0.47</v>
      </c>
      <c r="H124" t="e" vm="9">
        <v>#VALUE!</v>
      </c>
      <c r="I124" t="e" cm="1" vm="10">
        <f t="array" aca="1" ref="I124" ca="1">_FV(H124,"Country/region",TRUE)</f>
        <v>#VALUE!</v>
      </c>
      <c r="J124" t="s">
        <v>10</v>
      </c>
      <c r="K124" t="s">
        <v>16</v>
      </c>
      <c r="L124" t="s">
        <v>19</v>
      </c>
      <c r="M124">
        <f>Table1[[#This Row],[Price]]*Table1[[#This Row],[Quantity]]</f>
        <v>2000.1000000000001</v>
      </c>
    </row>
    <row r="125" spans="2:13" x14ac:dyDescent="0.25">
      <c r="B125" s="3">
        <v>10579</v>
      </c>
      <c r="C125" s="4">
        <v>44897</v>
      </c>
      <c r="D125" t="s">
        <v>13</v>
      </c>
      <c r="E125" s="3">
        <v>4.99</v>
      </c>
      <c r="F125" s="19">
        <v>201</v>
      </c>
      <c r="G125" s="3">
        <v>2.25</v>
      </c>
      <c r="H125" t="e" vm="9">
        <v>#VALUE!</v>
      </c>
      <c r="I125" t="e" cm="1" vm="10">
        <f t="array" aca="1" ref="I125" ca="1">_FV(H125,"Country/region",TRUE)</f>
        <v>#VALUE!</v>
      </c>
      <c r="J125" t="s">
        <v>10</v>
      </c>
      <c r="K125" t="s">
        <v>16</v>
      </c>
      <c r="L125" t="s">
        <v>19</v>
      </c>
      <c r="M125">
        <f>Table1[[#This Row],[Price]]*Table1[[#This Row],[Quantity]]</f>
        <v>1002.99</v>
      </c>
    </row>
    <row r="126" spans="2:13" x14ac:dyDescent="0.25">
      <c r="B126" s="3">
        <v>10580</v>
      </c>
      <c r="C126" s="4">
        <v>44898</v>
      </c>
      <c r="D126" t="s">
        <v>15</v>
      </c>
      <c r="E126" s="3">
        <v>12.99</v>
      </c>
      <c r="F126" s="19">
        <v>524</v>
      </c>
      <c r="G126" s="3">
        <v>4.32</v>
      </c>
      <c r="H126" t="e" vm="9">
        <v>#VALUE!</v>
      </c>
      <c r="I126" t="e" cm="1" vm="10">
        <f t="array" aca="1" ref="I126" ca="1">_FV(H126,"Country/region",TRUE)</f>
        <v>#VALUE!</v>
      </c>
      <c r="J126" t="s">
        <v>10</v>
      </c>
      <c r="K126" t="s">
        <v>16</v>
      </c>
      <c r="L126" t="s">
        <v>19</v>
      </c>
      <c r="M126">
        <f>Table1[[#This Row],[Price]]*Table1[[#This Row],[Quantity]]</f>
        <v>6806.76</v>
      </c>
    </row>
    <row r="127" spans="2:13" x14ac:dyDescent="0.25">
      <c r="B127" s="3">
        <v>10581</v>
      </c>
      <c r="C127" s="4">
        <v>44898</v>
      </c>
      <c r="D127" t="s">
        <v>18</v>
      </c>
      <c r="E127" s="3">
        <v>9.9499999999999993</v>
      </c>
      <c r="F127" s="19">
        <v>202</v>
      </c>
      <c r="G127" s="3">
        <v>2.85</v>
      </c>
      <c r="H127" t="e" vm="9">
        <v>#VALUE!</v>
      </c>
      <c r="I127" t="e" cm="1" vm="10">
        <f t="array" aca="1" ref="I127" ca="1">_FV(H127,"Country/region",TRUE)</f>
        <v>#VALUE!</v>
      </c>
      <c r="J127" t="s">
        <v>10</v>
      </c>
      <c r="K127" t="s">
        <v>16</v>
      </c>
      <c r="L127" t="s">
        <v>19</v>
      </c>
      <c r="M127">
        <f>Table1[[#This Row],[Price]]*Table1[[#This Row],[Quantity]]</f>
        <v>2009.8999999999999</v>
      </c>
    </row>
    <row r="128" spans="2:13" x14ac:dyDescent="0.25">
      <c r="B128" s="3">
        <v>10582</v>
      </c>
      <c r="C128" s="4">
        <v>44898</v>
      </c>
      <c r="D128" t="s">
        <v>9</v>
      </c>
      <c r="E128" s="3">
        <v>3.49</v>
      </c>
      <c r="F128" s="19">
        <v>631</v>
      </c>
      <c r="G128" s="3">
        <v>0.88</v>
      </c>
      <c r="H128" t="e" vm="1">
        <v>#VALUE!</v>
      </c>
      <c r="I128" t="e" cm="1" vm="2">
        <f t="array" aca="1" ref="I128" ca="1">_FV(H128,"Country/region",TRUE)</f>
        <v>#VALUE!</v>
      </c>
      <c r="J128" t="s">
        <v>10</v>
      </c>
      <c r="K128" t="s">
        <v>16</v>
      </c>
      <c r="L128" t="s">
        <v>24</v>
      </c>
      <c r="M128">
        <f>Table1[[#This Row],[Price]]*Table1[[#This Row],[Quantity]]</f>
        <v>2202.19</v>
      </c>
    </row>
    <row r="129" spans="2:13" x14ac:dyDescent="0.25">
      <c r="B129" s="3">
        <v>10583</v>
      </c>
      <c r="C129" s="4">
        <v>44898</v>
      </c>
      <c r="D129" t="s">
        <v>12</v>
      </c>
      <c r="E129" s="3">
        <v>2.95</v>
      </c>
      <c r="F129" s="19">
        <v>678</v>
      </c>
      <c r="G129" s="3">
        <v>0.47</v>
      </c>
      <c r="H129" t="e" vm="1">
        <v>#VALUE!</v>
      </c>
      <c r="I129" t="e" cm="1" vm="2">
        <f t="array" aca="1" ref="I129" ca="1">_FV(H129,"Country/region",TRUE)</f>
        <v>#VALUE!</v>
      </c>
      <c r="J129" t="s">
        <v>10</v>
      </c>
      <c r="K129" t="s">
        <v>16</v>
      </c>
      <c r="L129" t="s">
        <v>24</v>
      </c>
      <c r="M129">
        <f>Table1[[#This Row],[Price]]*Table1[[#This Row],[Quantity]]</f>
        <v>2000.1000000000001</v>
      </c>
    </row>
    <row r="130" spans="2:13" x14ac:dyDescent="0.25">
      <c r="B130" s="3">
        <v>10584</v>
      </c>
      <c r="C130" s="4">
        <v>44898</v>
      </c>
      <c r="D130" t="s">
        <v>13</v>
      </c>
      <c r="E130" s="3">
        <v>4.99</v>
      </c>
      <c r="F130" s="19">
        <v>201</v>
      </c>
      <c r="G130" s="3">
        <v>2.25</v>
      </c>
      <c r="H130" t="e" vm="1">
        <v>#VALUE!</v>
      </c>
      <c r="I130" t="e" cm="1" vm="2">
        <f t="array" aca="1" ref="I130" ca="1">_FV(H130,"Country/region",TRUE)</f>
        <v>#VALUE!</v>
      </c>
      <c r="J130" t="s">
        <v>10</v>
      </c>
      <c r="K130" t="s">
        <v>16</v>
      </c>
      <c r="L130" t="s">
        <v>24</v>
      </c>
      <c r="M130">
        <f>Table1[[#This Row],[Price]]*Table1[[#This Row],[Quantity]]</f>
        <v>1002.99</v>
      </c>
    </row>
    <row r="131" spans="2:13" x14ac:dyDescent="0.25">
      <c r="B131" s="3">
        <v>10585</v>
      </c>
      <c r="C131" s="4">
        <v>44899</v>
      </c>
      <c r="D131" t="s">
        <v>15</v>
      </c>
      <c r="E131" s="3">
        <v>12.99</v>
      </c>
      <c r="F131" s="19">
        <v>539</v>
      </c>
      <c r="G131" s="3">
        <v>4.32</v>
      </c>
      <c r="H131" t="e" vm="1">
        <v>#VALUE!</v>
      </c>
      <c r="I131" t="e" cm="1" vm="2">
        <f t="array" aca="1" ref="I131" ca="1">_FV(H131,"Country/region",TRUE)</f>
        <v>#VALUE!</v>
      </c>
      <c r="J131" t="s">
        <v>10</v>
      </c>
      <c r="K131" t="s">
        <v>16</v>
      </c>
      <c r="L131" t="s">
        <v>24</v>
      </c>
      <c r="M131">
        <f>Table1[[#This Row],[Price]]*Table1[[#This Row],[Quantity]]</f>
        <v>7001.61</v>
      </c>
    </row>
    <row r="132" spans="2:13" x14ac:dyDescent="0.25">
      <c r="B132" s="3">
        <v>10586</v>
      </c>
      <c r="C132" s="4">
        <v>44899</v>
      </c>
      <c r="D132" t="s">
        <v>18</v>
      </c>
      <c r="E132" s="3">
        <v>9.9499999999999993</v>
      </c>
      <c r="F132" s="19">
        <v>202</v>
      </c>
      <c r="G132" s="3">
        <v>2.85</v>
      </c>
      <c r="H132" t="e" vm="1">
        <v>#VALUE!</v>
      </c>
      <c r="I132" t="e" cm="1" vm="2">
        <f t="array" aca="1" ref="I132" ca="1">_FV(H132,"Country/region",TRUE)</f>
        <v>#VALUE!</v>
      </c>
      <c r="J132" t="s">
        <v>10</v>
      </c>
      <c r="K132" t="s">
        <v>16</v>
      </c>
      <c r="L132" t="s">
        <v>24</v>
      </c>
      <c r="M132">
        <f>Table1[[#This Row],[Price]]*Table1[[#This Row],[Quantity]]</f>
        <v>2009.8999999999999</v>
      </c>
    </row>
    <row r="133" spans="2:13" x14ac:dyDescent="0.25">
      <c r="B133" s="3">
        <v>10590</v>
      </c>
      <c r="C133" s="4">
        <v>44900</v>
      </c>
      <c r="D133" t="s">
        <v>15</v>
      </c>
      <c r="E133" s="3">
        <v>12.99</v>
      </c>
      <c r="F133" s="19">
        <v>555</v>
      </c>
      <c r="G133" s="3">
        <v>4.32</v>
      </c>
      <c r="H133" t="e" vm="1">
        <v>#VALUE!</v>
      </c>
      <c r="I133" t="e" cm="1" vm="2">
        <f t="array" aca="1" ref="I133" ca="1">_FV(H133,"Country/region",TRUE)</f>
        <v>#VALUE!</v>
      </c>
      <c r="J133" t="s">
        <v>10</v>
      </c>
      <c r="K133" t="s">
        <v>16</v>
      </c>
      <c r="L133" t="s">
        <v>24</v>
      </c>
      <c r="M133">
        <f>Table1[[#This Row],[Price]]*Table1[[#This Row],[Quantity]]</f>
        <v>7209.45</v>
      </c>
    </row>
    <row r="134" spans="2:13" x14ac:dyDescent="0.25">
      <c r="B134" s="3">
        <v>10591</v>
      </c>
      <c r="C134" s="4">
        <v>44900</v>
      </c>
      <c r="D134" t="s">
        <v>18</v>
      </c>
      <c r="E134" s="3">
        <v>9.9499999999999993</v>
      </c>
      <c r="F134" s="19">
        <v>202</v>
      </c>
      <c r="G134" s="3">
        <v>2.85</v>
      </c>
      <c r="H134" t="e" vm="1">
        <v>#VALUE!</v>
      </c>
      <c r="I134" t="e" cm="1" vm="2">
        <f t="array" aca="1" ref="I134" ca="1">_FV(H134,"Country/region",TRUE)</f>
        <v>#VALUE!</v>
      </c>
      <c r="J134" t="s">
        <v>10</v>
      </c>
      <c r="K134" t="s">
        <v>16</v>
      </c>
      <c r="L134" t="s">
        <v>24</v>
      </c>
      <c r="M134">
        <f>Table1[[#This Row],[Price]]*Table1[[#This Row],[Quantity]]</f>
        <v>2009.8999999999999</v>
      </c>
    </row>
    <row r="135" spans="2:13" x14ac:dyDescent="0.25">
      <c r="B135" s="3">
        <v>10592</v>
      </c>
      <c r="C135" s="4">
        <v>44900</v>
      </c>
      <c r="D135" t="s">
        <v>9</v>
      </c>
      <c r="E135" s="3">
        <v>3.49</v>
      </c>
      <c r="F135" s="19">
        <v>574</v>
      </c>
      <c r="G135" s="3">
        <v>0.88</v>
      </c>
      <c r="H135" t="e" vm="1">
        <v>#VALUE!</v>
      </c>
      <c r="I135" t="e" cm="1" vm="2">
        <f t="array" aca="1" ref="I135" ca="1">_FV(H135,"Country/region",TRUE)</f>
        <v>#VALUE!</v>
      </c>
      <c r="J135" t="s">
        <v>10</v>
      </c>
      <c r="K135" t="s">
        <v>16</v>
      </c>
      <c r="L135" t="s">
        <v>24</v>
      </c>
      <c r="M135">
        <f>Table1[[#This Row],[Price]]*Table1[[#This Row],[Quantity]]</f>
        <v>2003.2600000000002</v>
      </c>
    </row>
    <row r="136" spans="2:13" x14ac:dyDescent="0.25">
      <c r="B136" s="3">
        <v>10593</v>
      </c>
      <c r="C136" s="4">
        <v>44900</v>
      </c>
      <c r="D136" t="s">
        <v>12</v>
      </c>
      <c r="E136" s="3">
        <v>2.95</v>
      </c>
      <c r="F136" s="19">
        <v>678</v>
      </c>
      <c r="G136" s="3">
        <v>0.47</v>
      </c>
      <c r="H136" t="e" vm="1">
        <v>#VALUE!</v>
      </c>
      <c r="I136" t="e" cm="1" vm="2">
        <f t="array" aca="1" ref="I136" ca="1">_FV(H136,"Country/region",TRUE)</f>
        <v>#VALUE!</v>
      </c>
      <c r="J136" t="s">
        <v>10</v>
      </c>
      <c r="K136" t="s">
        <v>16</v>
      </c>
      <c r="L136" t="s">
        <v>24</v>
      </c>
      <c r="M136">
        <f>Table1[[#This Row],[Price]]*Table1[[#This Row],[Quantity]]</f>
        <v>2000.1000000000001</v>
      </c>
    </row>
    <row r="137" spans="2:13" x14ac:dyDescent="0.25">
      <c r="B137" s="3">
        <v>10594</v>
      </c>
      <c r="C137" s="4">
        <v>44900</v>
      </c>
      <c r="D137" t="s">
        <v>13</v>
      </c>
      <c r="E137" s="3">
        <v>4.99</v>
      </c>
      <c r="F137" s="19">
        <v>201</v>
      </c>
      <c r="G137" s="3">
        <v>2.25</v>
      </c>
      <c r="H137" t="e" vm="1">
        <v>#VALUE!</v>
      </c>
      <c r="I137" t="e" cm="1" vm="2">
        <f t="array" aca="1" ref="I137" ca="1">_FV(H137,"Country/region",TRUE)</f>
        <v>#VALUE!</v>
      </c>
      <c r="J137" t="s">
        <v>10</v>
      </c>
      <c r="K137" t="s">
        <v>16</v>
      </c>
      <c r="L137" t="s">
        <v>24</v>
      </c>
      <c r="M137">
        <f>Table1[[#This Row],[Price]]*Table1[[#This Row],[Quantity]]</f>
        <v>1002.99</v>
      </c>
    </row>
    <row r="138" spans="2:13" x14ac:dyDescent="0.25">
      <c r="B138" s="3">
        <v>10595</v>
      </c>
      <c r="C138" s="4">
        <v>44901</v>
      </c>
      <c r="D138" t="s">
        <v>15</v>
      </c>
      <c r="E138" s="3">
        <v>12.99</v>
      </c>
      <c r="F138" s="19">
        <v>539</v>
      </c>
      <c r="G138" s="3">
        <v>4.32</v>
      </c>
      <c r="H138" t="e" vm="1">
        <v>#VALUE!</v>
      </c>
      <c r="I138" t="e" cm="1" vm="2">
        <f t="array" aca="1" ref="I138" ca="1">_FV(H138,"Country/region",TRUE)</f>
        <v>#VALUE!</v>
      </c>
      <c r="J138" t="s">
        <v>10</v>
      </c>
      <c r="K138" t="s">
        <v>16</v>
      </c>
      <c r="L138" t="s">
        <v>24</v>
      </c>
      <c r="M138">
        <f>Table1[[#This Row],[Price]]*Table1[[#This Row],[Quantity]]</f>
        <v>7001.61</v>
      </c>
    </row>
    <row r="139" spans="2:13" x14ac:dyDescent="0.25">
      <c r="B139" s="3">
        <v>10596</v>
      </c>
      <c r="C139" s="4">
        <v>44901</v>
      </c>
      <c r="D139" t="s">
        <v>18</v>
      </c>
      <c r="E139" s="3">
        <v>9.9499999999999993</v>
      </c>
      <c r="F139" s="19">
        <v>202</v>
      </c>
      <c r="G139" s="3">
        <v>2.85</v>
      </c>
      <c r="H139" t="e" vm="1">
        <v>#VALUE!</v>
      </c>
      <c r="I139" t="e" cm="1" vm="2">
        <f t="array" aca="1" ref="I139" ca="1">_FV(H139,"Country/region",TRUE)</f>
        <v>#VALUE!</v>
      </c>
      <c r="J139" t="s">
        <v>10</v>
      </c>
      <c r="K139" t="s">
        <v>16</v>
      </c>
      <c r="L139" t="s">
        <v>24</v>
      </c>
      <c r="M139">
        <f>Table1[[#This Row],[Price]]*Table1[[#This Row],[Quantity]]</f>
        <v>2009.8999999999999</v>
      </c>
    </row>
    <row r="140" spans="2:13" x14ac:dyDescent="0.25">
      <c r="B140" s="3">
        <v>10597</v>
      </c>
      <c r="C140" s="4">
        <v>44901</v>
      </c>
      <c r="D140" t="s">
        <v>9</v>
      </c>
      <c r="E140" s="3">
        <v>3.49</v>
      </c>
      <c r="F140" s="19">
        <v>574</v>
      </c>
      <c r="G140" s="3">
        <v>0.88</v>
      </c>
      <c r="H140" t="e" vm="1">
        <v>#VALUE!</v>
      </c>
      <c r="I140" t="e" cm="1" vm="2">
        <f t="array" aca="1" ref="I140" ca="1">_FV(H140,"Country/region",TRUE)</f>
        <v>#VALUE!</v>
      </c>
      <c r="J140" t="s">
        <v>10</v>
      </c>
      <c r="K140" t="s">
        <v>16</v>
      </c>
      <c r="L140" t="s">
        <v>24</v>
      </c>
      <c r="M140">
        <f>Table1[[#This Row],[Price]]*Table1[[#This Row],[Quantity]]</f>
        <v>2003.2600000000002</v>
      </c>
    </row>
    <row r="141" spans="2:13" x14ac:dyDescent="0.25">
      <c r="B141" s="3">
        <v>10598</v>
      </c>
      <c r="C141" s="4">
        <v>44901</v>
      </c>
      <c r="D141" t="s">
        <v>12</v>
      </c>
      <c r="E141" s="3">
        <v>2.95</v>
      </c>
      <c r="F141" s="19">
        <v>678</v>
      </c>
      <c r="G141" s="3">
        <v>0.47</v>
      </c>
      <c r="H141" t="e" vm="1">
        <v>#VALUE!</v>
      </c>
      <c r="I141" t="e" cm="1" vm="2">
        <f t="array" aca="1" ref="I141" ca="1">_FV(H141,"Country/region",TRUE)</f>
        <v>#VALUE!</v>
      </c>
      <c r="J141" t="s">
        <v>10</v>
      </c>
      <c r="K141" t="s">
        <v>16</v>
      </c>
      <c r="L141" t="s">
        <v>24</v>
      </c>
      <c r="M141">
        <f>Table1[[#This Row],[Price]]*Table1[[#This Row],[Quantity]]</f>
        <v>2000.1000000000001</v>
      </c>
    </row>
    <row r="142" spans="2:13" x14ac:dyDescent="0.25">
      <c r="B142" s="3">
        <v>10599</v>
      </c>
      <c r="C142" s="4">
        <v>44901</v>
      </c>
      <c r="D142" t="s">
        <v>13</v>
      </c>
      <c r="E142" s="3">
        <v>4.99</v>
      </c>
      <c r="F142" s="19">
        <v>201</v>
      </c>
      <c r="G142" s="3">
        <v>2.25</v>
      </c>
      <c r="H142" t="e" vm="1">
        <v>#VALUE!</v>
      </c>
      <c r="I142" t="e" cm="1" vm="2">
        <f t="array" aca="1" ref="I142" ca="1">_FV(H142,"Country/region",TRUE)</f>
        <v>#VALUE!</v>
      </c>
      <c r="J142" t="s">
        <v>10</v>
      </c>
      <c r="K142" t="s">
        <v>16</v>
      </c>
      <c r="L142" t="s">
        <v>24</v>
      </c>
      <c r="M142">
        <f>Table1[[#This Row],[Price]]*Table1[[#This Row],[Quantity]]</f>
        <v>1002.99</v>
      </c>
    </row>
    <row r="143" spans="2:13" x14ac:dyDescent="0.25">
      <c r="B143" s="3">
        <v>10600</v>
      </c>
      <c r="C143" s="4">
        <v>44902</v>
      </c>
      <c r="D143" t="s">
        <v>15</v>
      </c>
      <c r="E143" s="3">
        <v>12.99</v>
      </c>
      <c r="F143" s="19">
        <v>524</v>
      </c>
      <c r="G143" s="3">
        <v>4.32</v>
      </c>
      <c r="H143" t="e" vm="1">
        <v>#VALUE!</v>
      </c>
      <c r="I143" t="e" cm="1" vm="2">
        <f t="array" aca="1" ref="I143" ca="1">_FV(H143,"Country/region",TRUE)</f>
        <v>#VALUE!</v>
      </c>
      <c r="J143" t="s">
        <v>10</v>
      </c>
      <c r="K143" t="s">
        <v>16</v>
      </c>
      <c r="L143" t="s">
        <v>24</v>
      </c>
      <c r="M143">
        <f>Table1[[#This Row],[Price]]*Table1[[#This Row],[Quantity]]</f>
        <v>6806.76</v>
      </c>
    </row>
    <row r="144" spans="2:13" x14ac:dyDescent="0.25">
      <c r="B144" s="3">
        <v>10601</v>
      </c>
      <c r="C144" s="4">
        <v>44902</v>
      </c>
      <c r="D144" t="s">
        <v>18</v>
      </c>
      <c r="E144" s="3">
        <v>9.9499999999999993</v>
      </c>
      <c r="F144" s="19">
        <v>202</v>
      </c>
      <c r="G144" s="3">
        <v>2.85</v>
      </c>
      <c r="H144" t="e" vm="1">
        <v>#VALUE!</v>
      </c>
      <c r="I144" t="e" cm="1" vm="2">
        <f t="array" aca="1" ref="I144" ca="1">_FV(H144,"Country/region",TRUE)</f>
        <v>#VALUE!</v>
      </c>
      <c r="J144" t="s">
        <v>10</v>
      </c>
      <c r="K144" t="s">
        <v>16</v>
      </c>
      <c r="L144" t="s">
        <v>24</v>
      </c>
      <c r="M144">
        <f>Table1[[#This Row],[Price]]*Table1[[#This Row],[Quantity]]</f>
        <v>2009.8999999999999</v>
      </c>
    </row>
    <row r="145" spans="2:13" x14ac:dyDescent="0.25">
      <c r="B145" s="3">
        <v>10602</v>
      </c>
      <c r="C145" s="4">
        <v>44902</v>
      </c>
      <c r="D145" t="s">
        <v>9</v>
      </c>
      <c r="E145" s="3">
        <v>3.49</v>
      </c>
      <c r="F145" s="19">
        <v>631</v>
      </c>
      <c r="G145" s="3">
        <v>0.88</v>
      </c>
      <c r="H145" t="e" vm="1">
        <v>#VALUE!</v>
      </c>
      <c r="I145" t="e" cm="1" vm="2">
        <f t="array" aca="1" ref="I145" ca="1">_FV(H145,"Country/region",TRUE)</f>
        <v>#VALUE!</v>
      </c>
      <c r="J145" t="s">
        <v>10</v>
      </c>
      <c r="K145" t="s">
        <v>23</v>
      </c>
      <c r="L145" t="s">
        <v>24</v>
      </c>
      <c r="M145">
        <f>Table1[[#This Row],[Price]]*Table1[[#This Row],[Quantity]]</f>
        <v>2202.19</v>
      </c>
    </row>
    <row r="146" spans="2:13" x14ac:dyDescent="0.25">
      <c r="B146" s="3">
        <v>10603</v>
      </c>
      <c r="C146" s="4">
        <v>44902</v>
      </c>
      <c r="D146" t="s">
        <v>12</v>
      </c>
      <c r="E146" s="3">
        <v>2.95</v>
      </c>
      <c r="F146" s="19">
        <v>678</v>
      </c>
      <c r="G146" s="3">
        <v>0.47</v>
      </c>
      <c r="H146" t="e" vm="1">
        <v>#VALUE!</v>
      </c>
      <c r="I146" t="e" cm="1" vm="2">
        <f t="array" aca="1" ref="I146" ca="1">_FV(H146,"Country/region",TRUE)</f>
        <v>#VALUE!</v>
      </c>
      <c r="J146" t="s">
        <v>10</v>
      </c>
      <c r="K146" t="s">
        <v>23</v>
      </c>
      <c r="L146" t="s">
        <v>24</v>
      </c>
      <c r="M146">
        <f>Table1[[#This Row],[Price]]*Table1[[#This Row],[Quantity]]</f>
        <v>2000.1000000000001</v>
      </c>
    </row>
    <row r="147" spans="2:13" x14ac:dyDescent="0.25">
      <c r="B147" s="3">
        <v>10604</v>
      </c>
      <c r="C147" s="4">
        <v>44902</v>
      </c>
      <c r="D147" t="s">
        <v>13</v>
      </c>
      <c r="E147" s="3">
        <v>4.99</v>
      </c>
      <c r="F147" s="19">
        <v>201</v>
      </c>
      <c r="G147" s="3">
        <v>2.25</v>
      </c>
      <c r="H147" t="e" vm="1">
        <v>#VALUE!</v>
      </c>
      <c r="I147" t="e" cm="1" vm="2">
        <f t="array" aca="1" ref="I147" ca="1">_FV(H147,"Country/region",TRUE)</f>
        <v>#VALUE!</v>
      </c>
      <c r="J147" t="s">
        <v>10</v>
      </c>
      <c r="K147" t="s">
        <v>23</v>
      </c>
      <c r="L147" t="s">
        <v>24</v>
      </c>
      <c r="M147">
        <f>Table1[[#This Row],[Price]]*Table1[[#This Row],[Quantity]]</f>
        <v>1002.99</v>
      </c>
    </row>
    <row r="148" spans="2:13" x14ac:dyDescent="0.25">
      <c r="B148" s="3">
        <v>10605</v>
      </c>
      <c r="C148" s="4">
        <v>44903</v>
      </c>
      <c r="D148" t="s">
        <v>15</v>
      </c>
      <c r="E148" s="3">
        <v>12.99</v>
      </c>
      <c r="F148" s="19">
        <v>539</v>
      </c>
      <c r="G148" s="3">
        <v>4.32</v>
      </c>
      <c r="H148" t="e" vm="1">
        <v>#VALUE!</v>
      </c>
      <c r="I148" t="e" cm="1" vm="2">
        <f t="array" aca="1" ref="I148" ca="1">_FV(H148,"Country/region",TRUE)</f>
        <v>#VALUE!</v>
      </c>
      <c r="J148" t="s">
        <v>10</v>
      </c>
      <c r="K148" t="s">
        <v>23</v>
      </c>
      <c r="L148" t="s">
        <v>24</v>
      </c>
      <c r="M148">
        <f>Table1[[#This Row],[Price]]*Table1[[#This Row],[Quantity]]</f>
        <v>7001.61</v>
      </c>
    </row>
    <row r="149" spans="2:13" x14ac:dyDescent="0.25">
      <c r="B149" s="3">
        <v>10606</v>
      </c>
      <c r="C149" s="4">
        <v>44903</v>
      </c>
      <c r="D149" t="s">
        <v>18</v>
      </c>
      <c r="E149" s="3">
        <v>9.9499999999999993</v>
      </c>
      <c r="F149" s="19">
        <v>202</v>
      </c>
      <c r="G149" s="3">
        <v>2.85</v>
      </c>
      <c r="H149" t="e" vm="1">
        <v>#VALUE!</v>
      </c>
      <c r="I149" t="e" cm="1" vm="2">
        <f t="array" aca="1" ref="I149" ca="1">_FV(H149,"Country/region",TRUE)</f>
        <v>#VALUE!</v>
      </c>
      <c r="J149" t="s">
        <v>10</v>
      </c>
      <c r="K149" t="s">
        <v>23</v>
      </c>
      <c r="L149" t="s">
        <v>24</v>
      </c>
      <c r="M149">
        <f>Table1[[#This Row],[Price]]*Table1[[#This Row],[Quantity]]</f>
        <v>2009.8999999999999</v>
      </c>
    </row>
    <row r="150" spans="2:13" x14ac:dyDescent="0.25">
      <c r="B150" s="3">
        <v>10607</v>
      </c>
      <c r="C150" s="4">
        <v>44903</v>
      </c>
      <c r="D150" t="s">
        <v>9</v>
      </c>
      <c r="E150" s="3">
        <v>3.49</v>
      </c>
      <c r="F150" s="19">
        <v>631</v>
      </c>
      <c r="G150" s="3">
        <v>0.88</v>
      </c>
      <c r="H150" t="e" vm="1">
        <v>#VALUE!</v>
      </c>
      <c r="I150" t="e" cm="1" vm="2">
        <f t="array" aca="1" ref="I150" ca="1">_FV(H150,"Country/region",TRUE)</f>
        <v>#VALUE!</v>
      </c>
      <c r="J150" t="s">
        <v>10</v>
      </c>
      <c r="K150" t="s">
        <v>23</v>
      </c>
      <c r="L150" t="s">
        <v>24</v>
      </c>
      <c r="M150">
        <f>Table1[[#This Row],[Price]]*Table1[[#This Row],[Quantity]]</f>
        <v>2202.19</v>
      </c>
    </row>
    <row r="151" spans="2:13" x14ac:dyDescent="0.25">
      <c r="B151" s="3">
        <v>10608</v>
      </c>
      <c r="C151" s="4">
        <v>44903</v>
      </c>
      <c r="D151" t="s">
        <v>12</v>
      </c>
      <c r="E151" s="3">
        <v>2.95</v>
      </c>
      <c r="F151" s="19">
        <v>678</v>
      </c>
      <c r="G151" s="3">
        <v>0.47</v>
      </c>
      <c r="H151" t="e" vm="1">
        <v>#VALUE!</v>
      </c>
      <c r="I151" t="e" cm="1" vm="2">
        <f t="array" aca="1" ref="I151" ca="1">_FV(H151,"Country/region",TRUE)</f>
        <v>#VALUE!</v>
      </c>
      <c r="J151" t="s">
        <v>10</v>
      </c>
      <c r="K151" t="s">
        <v>11</v>
      </c>
      <c r="L151" t="s">
        <v>24</v>
      </c>
      <c r="M151">
        <f>Table1[[#This Row],[Price]]*Table1[[#This Row],[Quantity]]</f>
        <v>2000.1000000000001</v>
      </c>
    </row>
    <row r="152" spans="2:13" x14ac:dyDescent="0.25">
      <c r="B152" s="3">
        <v>10609</v>
      </c>
      <c r="C152" s="4">
        <v>44903</v>
      </c>
      <c r="D152" t="s">
        <v>13</v>
      </c>
      <c r="E152" s="3">
        <v>4.99</v>
      </c>
      <c r="F152" s="19">
        <v>201</v>
      </c>
      <c r="G152" s="3">
        <v>2.25</v>
      </c>
      <c r="H152" t="e" vm="1">
        <v>#VALUE!</v>
      </c>
      <c r="I152" t="e" cm="1" vm="2">
        <f t="array" aca="1" ref="I152" ca="1">_FV(H152,"Country/region",TRUE)</f>
        <v>#VALUE!</v>
      </c>
      <c r="J152" t="s">
        <v>10</v>
      </c>
      <c r="K152" t="s">
        <v>11</v>
      </c>
      <c r="L152" t="s">
        <v>24</v>
      </c>
      <c r="M152">
        <f>Table1[[#This Row],[Price]]*Table1[[#This Row],[Quantity]]</f>
        <v>1002.99</v>
      </c>
    </row>
    <row r="153" spans="2:13" x14ac:dyDescent="0.25">
      <c r="B153" s="3">
        <v>10610</v>
      </c>
      <c r="C153" s="4">
        <v>44904</v>
      </c>
      <c r="D153" t="s">
        <v>15</v>
      </c>
      <c r="E153" s="3">
        <v>12.99</v>
      </c>
      <c r="F153" s="19">
        <v>570</v>
      </c>
      <c r="G153" s="3">
        <v>4.32</v>
      </c>
      <c r="H153" t="e" vm="1">
        <v>#VALUE!</v>
      </c>
      <c r="I153" t="e" cm="1" vm="2">
        <f t="array" aca="1" ref="I153" ca="1">_FV(H153,"Country/region",TRUE)</f>
        <v>#VALUE!</v>
      </c>
      <c r="J153" t="s">
        <v>10</v>
      </c>
      <c r="K153" t="s">
        <v>11</v>
      </c>
      <c r="L153" t="s">
        <v>24</v>
      </c>
      <c r="M153">
        <f>Table1[[#This Row],[Price]]*Table1[[#This Row],[Quantity]]</f>
        <v>7404.3</v>
      </c>
    </row>
    <row r="154" spans="2:13" x14ac:dyDescent="0.25">
      <c r="B154" s="3">
        <v>10611</v>
      </c>
      <c r="C154" s="4">
        <v>44904</v>
      </c>
      <c r="D154" t="s">
        <v>18</v>
      </c>
      <c r="E154" s="3">
        <v>9.9499999999999993</v>
      </c>
      <c r="F154" s="19">
        <v>202</v>
      </c>
      <c r="G154" s="3">
        <v>2.85</v>
      </c>
      <c r="H154" t="e" vm="1">
        <v>#VALUE!</v>
      </c>
      <c r="I154" t="e" cm="1" vm="2">
        <f t="array" aca="1" ref="I154" ca="1">_FV(H154,"Country/region",TRUE)</f>
        <v>#VALUE!</v>
      </c>
      <c r="J154" t="s">
        <v>10</v>
      </c>
      <c r="K154" t="s">
        <v>11</v>
      </c>
      <c r="L154" t="s">
        <v>24</v>
      </c>
      <c r="M154">
        <f>Table1[[#This Row],[Price]]*Table1[[#This Row],[Quantity]]</f>
        <v>2009.8999999999999</v>
      </c>
    </row>
    <row r="155" spans="2:13" x14ac:dyDescent="0.25">
      <c r="B155" s="3">
        <v>10612</v>
      </c>
      <c r="C155" s="4">
        <v>44904</v>
      </c>
      <c r="D155" t="s">
        <v>9</v>
      </c>
      <c r="E155" s="3">
        <v>3.49</v>
      </c>
      <c r="F155" s="19">
        <v>631</v>
      </c>
      <c r="G155" s="3">
        <v>0.88</v>
      </c>
      <c r="H155" t="e" vm="1">
        <v>#VALUE!</v>
      </c>
      <c r="I155" t="e" cm="1" vm="2">
        <f t="array" aca="1" ref="I155" ca="1">_FV(H155,"Country/region",TRUE)</f>
        <v>#VALUE!</v>
      </c>
      <c r="J155" t="s">
        <v>10</v>
      </c>
      <c r="K155" t="s">
        <v>11</v>
      </c>
      <c r="L155" t="s">
        <v>24</v>
      </c>
      <c r="M155">
        <f>Table1[[#This Row],[Price]]*Table1[[#This Row],[Quantity]]</f>
        <v>2202.19</v>
      </c>
    </row>
    <row r="156" spans="2:13" x14ac:dyDescent="0.25">
      <c r="B156" s="3">
        <v>10613</v>
      </c>
      <c r="C156" s="4">
        <v>44904</v>
      </c>
      <c r="D156" t="s">
        <v>12</v>
      </c>
      <c r="E156" s="3">
        <v>2.95</v>
      </c>
      <c r="F156" s="19">
        <v>678</v>
      </c>
      <c r="G156" s="3">
        <v>0.47</v>
      </c>
      <c r="H156" t="e" vm="1">
        <v>#VALUE!</v>
      </c>
      <c r="I156" t="e" cm="1" vm="2">
        <f t="array" aca="1" ref="I156" ca="1">_FV(H156,"Country/region",TRUE)</f>
        <v>#VALUE!</v>
      </c>
      <c r="J156" t="s">
        <v>10</v>
      </c>
      <c r="K156" t="s">
        <v>11</v>
      </c>
      <c r="L156" t="s">
        <v>24</v>
      </c>
      <c r="M156">
        <f>Table1[[#This Row],[Price]]*Table1[[#This Row],[Quantity]]</f>
        <v>2000.1000000000001</v>
      </c>
    </row>
    <row r="157" spans="2:13" x14ac:dyDescent="0.25">
      <c r="B157" s="3">
        <v>10614</v>
      </c>
      <c r="C157" s="4">
        <v>44904</v>
      </c>
      <c r="D157" t="s">
        <v>13</v>
      </c>
      <c r="E157" s="3">
        <v>4.99</v>
      </c>
      <c r="F157" s="19">
        <v>201</v>
      </c>
      <c r="G157" s="3">
        <v>2.25</v>
      </c>
      <c r="H157" t="e" vm="1">
        <v>#VALUE!</v>
      </c>
      <c r="I157" t="e" cm="1" vm="2">
        <f t="array" aca="1" ref="I157" ca="1">_FV(H157,"Country/region",TRUE)</f>
        <v>#VALUE!</v>
      </c>
      <c r="J157" t="s">
        <v>10</v>
      </c>
      <c r="K157" t="s">
        <v>11</v>
      </c>
      <c r="L157" t="s">
        <v>24</v>
      </c>
      <c r="M157">
        <f>Table1[[#This Row],[Price]]*Table1[[#This Row],[Quantity]]</f>
        <v>1002.99</v>
      </c>
    </row>
    <row r="158" spans="2:13" x14ac:dyDescent="0.25">
      <c r="B158" s="3">
        <v>10615</v>
      </c>
      <c r="C158" s="4">
        <v>44905</v>
      </c>
      <c r="D158" t="s">
        <v>15</v>
      </c>
      <c r="E158" s="3">
        <v>12.99</v>
      </c>
      <c r="F158" s="19">
        <v>570</v>
      </c>
      <c r="G158" s="3">
        <v>4.32</v>
      </c>
      <c r="H158" t="e" vm="1">
        <v>#VALUE!</v>
      </c>
      <c r="I158" t="e" cm="1" vm="2">
        <f t="array" aca="1" ref="I158" ca="1">_FV(H158,"Country/region",TRUE)</f>
        <v>#VALUE!</v>
      </c>
      <c r="J158" t="s">
        <v>10</v>
      </c>
      <c r="K158" t="s">
        <v>11</v>
      </c>
      <c r="L158" t="s">
        <v>24</v>
      </c>
      <c r="M158">
        <f>Table1[[#This Row],[Price]]*Table1[[#This Row],[Quantity]]</f>
        <v>7404.3</v>
      </c>
    </row>
    <row r="159" spans="2:13" x14ac:dyDescent="0.25">
      <c r="B159" s="3">
        <v>10616</v>
      </c>
      <c r="C159" s="4">
        <v>44905</v>
      </c>
      <c r="D159" t="s">
        <v>18</v>
      </c>
      <c r="E159" s="3">
        <v>9.9499999999999993</v>
      </c>
      <c r="F159" s="19">
        <v>202</v>
      </c>
      <c r="G159" s="3">
        <v>2.85</v>
      </c>
      <c r="H159" t="e" vm="1">
        <v>#VALUE!</v>
      </c>
      <c r="I159" t="e" cm="1" vm="2">
        <f t="array" aca="1" ref="I159" ca="1">_FV(H159,"Country/region",TRUE)</f>
        <v>#VALUE!</v>
      </c>
      <c r="J159" t="s">
        <v>10</v>
      </c>
      <c r="K159" t="s">
        <v>11</v>
      </c>
      <c r="L159" t="s">
        <v>24</v>
      </c>
      <c r="M159">
        <f>Table1[[#This Row],[Price]]*Table1[[#This Row],[Quantity]]</f>
        <v>2009.8999999999999</v>
      </c>
    </row>
    <row r="160" spans="2:13" x14ac:dyDescent="0.25">
      <c r="B160" s="3">
        <v>10617</v>
      </c>
      <c r="C160" s="4">
        <v>44905</v>
      </c>
      <c r="D160" t="s">
        <v>9</v>
      </c>
      <c r="E160" s="3">
        <v>3.49</v>
      </c>
      <c r="F160" s="19">
        <v>631</v>
      </c>
      <c r="G160" s="3">
        <v>0.88</v>
      </c>
      <c r="H160" t="e" vm="1">
        <v>#VALUE!</v>
      </c>
      <c r="I160" t="e" cm="1" vm="2">
        <f t="array" aca="1" ref="I160" ca="1">_FV(H160,"Country/region",TRUE)</f>
        <v>#VALUE!</v>
      </c>
      <c r="J160" t="s">
        <v>10</v>
      </c>
      <c r="K160" t="s">
        <v>11</v>
      </c>
      <c r="L160" t="s">
        <v>24</v>
      </c>
      <c r="M160">
        <f>Table1[[#This Row],[Price]]*Table1[[#This Row],[Quantity]]</f>
        <v>2202.19</v>
      </c>
    </row>
    <row r="161" spans="2:13" x14ac:dyDescent="0.25">
      <c r="B161" s="3">
        <v>10618</v>
      </c>
      <c r="C161" s="4">
        <v>44905</v>
      </c>
      <c r="D161" t="s">
        <v>12</v>
      </c>
      <c r="E161" s="3">
        <v>2.95</v>
      </c>
      <c r="F161" s="19">
        <v>678</v>
      </c>
      <c r="G161" s="3">
        <v>0.47</v>
      </c>
      <c r="H161" t="e" vm="1">
        <v>#VALUE!</v>
      </c>
      <c r="I161" t="e" cm="1" vm="2">
        <f t="array" aca="1" ref="I161" ca="1">_FV(H161,"Country/region",TRUE)</f>
        <v>#VALUE!</v>
      </c>
      <c r="J161" t="s">
        <v>10</v>
      </c>
      <c r="K161" t="s">
        <v>11</v>
      </c>
      <c r="L161" t="s">
        <v>24</v>
      </c>
      <c r="M161">
        <f>Table1[[#This Row],[Price]]*Table1[[#This Row],[Quantity]]</f>
        <v>2000.1000000000001</v>
      </c>
    </row>
    <row r="162" spans="2:13" x14ac:dyDescent="0.25">
      <c r="B162" s="3">
        <v>10619</v>
      </c>
      <c r="C162" s="4">
        <v>44905</v>
      </c>
      <c r="D162" t="s">
        <v>13</v>
      </c>
      <c r="E162" s="3">
        <v>4.99</v>
      </c>
      <c r="F162" s="19">
        <v>201</v>
      </c>
      <c r="G162" s="3">
        <v>2.25</v>
      </c>
      <c r="H162" t="e" vm="1">
        <v>#VALUE!</v>
      </c>
      <c r="I162" t="e" cm="1" vm="2">
        <f t="array" aca="1" ref="I162" ca="1">_FV(H162,"Country/region",TRUE)</f>
        <v>#VALUE!</v>
      </c>
      <c r="J162" t="s">
        <v>10</v>
      </c>
      <c r="K162" t="s">
        <v>11</v>
      </c>
      <c r="L162" t="s">
        <v>24</v>
      </c>
      <c r="M162">
        <f>Table1[[#This Row],[Price]]*Table1[[#This Row],[Quantity]]</f>
        <v>1002.99</v>
      </c>
    </row>
    <row r="163" spans="2:13" x14ac:dyDescent="0.25">
      <c r="B163" s="3">
        <v>10620</v>
      </c>
      <c r="C163" s="4">
        <v>44906</v>
      </c>
      <c r="D163" t="s">
        <v>15</v>
      </c>
      <c r="E163" s="3">
        <v>12.99</v>
      </c>
      <c r="F163" s="19">
        <v>586</v>
      </c>
      <c r="G163" s="3">
        <v>4.32</v>
      </c>
      <c r="H163" t="e" vm="1">
        <v>#VALUE!</v>
      </c>
      <c r="I163" t="e" cm="1" vm="2">
        <f t="array" aca="1" ref="I163" ca="1">_FV(H163,"Country/region",TRUE)</f>
        <v>#VALUE!</v>
      </c>
      <c r="J163" t="s">
        <v>10</v>
      </c>
      <c r="K163" t="s">
        <v>11</v>
      </c>
      <c r="L163" t="s">
        <v>24</v>
      </c>
      <c r="M163">
        <f>Table1[[#This Row],[Price]]*Table1[[#This Row],[Quantity]]</f>
        <v>7612.14</v>
      </c>
    </row>
    <row r="164" spans="2:13" x14ac:dyDescent="0.25">
      <c r="B164" s="3">
        <v>10621</v>
      </c>
      <c r="C164" s="4">
        <v>44906</v>
      </c>
      <c r="D164" t="s">
        <v>18</v>
      </c>
      <c r="E164" s="3">
        <v>9.9499999999999993</v>
      </c>
      <c r="F164" s="19">
        <v>202</v>
      </c>
      <c r="G164" s="3">
        <v>2.85</v>
      </c>
      <c r="H164" t="e" vm="1">
        <v>#VALUE!</v>
      </c>
      <c r="I164" t="e" cm="1" vm="2">
        <f t="array" aca="1" ref="I164" ca="1">_FV(H164,"Country/region",TRUE)</f>
        <v>#VALUE!</v>
      </c>
      <c r="J164" t="s">
        <v>10</v>
      </c>
      <c r="K164" t="s">
        <v>11</v>
      </c>
      <c r="L164" t="s">
        <v>24</v>
      </c>
      <c r="M164">
        <f>Table1[[#This Row],[Price]]*Table1[[#This Row],[Quantity]]</f>
        <v>2009.8999999999999</v>
      </c>
    </row>
    <row r="165" spans="2:13" x14ac:dyDescent="0.25">
      <c r="B165" s="3">
        <v>10622</v>
      </c>
      <c r="C165" s="4">
        <v>44906</v>
      </c>
      <c r="D165" t="s">
        <v>9</v>
      </c>
      <c r="E165" s="3">
        <v>3.49</v>
      </c>
      <c r="F165" s="19">
        <v>631</v>
      </c>
      <c r="G165" s="3">
        <v>0.88</v>
      </c>
      <c r="H165" t="e" vm="1">
        <v>#VALUE!</v>
      </c>
      <c r="I165" t="e" cm="1" vm="2">
        <f t="array" aca="1" ref="I165" ca="1">_FV(H165,"Country/region",TRUE)</f>
        <v>#VALUE!</v>
      </c>
      <c r="J165" t="s">
        <v>10</v>
      </c>
      <c r="K165" t="s">
        <v>11</v>
      </c>
      <c r="L165" t="s">
        <v>24</v>
      </c>
      <c r="M165">
        <f>Table1[[#This Row],[Price]]*Table1[[#This Row],[Quantity]]</f>
        <v>2202.19</v>
      </c>
    </row>
    <row r="166" spans="2:13" x14ac:dyDescent="0.25">
      <c r="B166" s="3">
        <v>10623</v>
      </c>
      <c r="C166" s="4">
        <v>44906</v>
      </c>
      <c r="D166" t="s">
        <v>12</v>
      </c>
      <c r="E166" s="3">
        <v>2.95</v>
      </c>
      <c r="F166" s="19">
        <v>746</v>
      </c>
      <c r="G166" s="3">
        <v>0.47</v>
      </c>
      <c r="H166" t="e" vm="1">
        <v>#VALUE!</v>
      </c>
      <c r="I166" t="e" cm="1" vm="2">
        <f t="array" aca="1" ref="I166" ca="1">_FV(H166,"Country/region",TRUE)</f>
        <v>#VALUE!</v>
      </c>
      <c r="J166" t="s">
        <v>10</v>
      </c>
      <c r="K166" t="s">
        <v>11</v>
      </c>
      <c r="L166" t="s">
        <v>24</v>
      </c>
      <c r="M166">
        <f>Table1[[#This Row],[Price]]*Table1[[#This Row],[Quantity]]</f>
        <v>2200.7000000000003</v>
      </c>
    </row>
    <row r="167" spans="2:13" x14ac:dyDescent="0.25">
      <c r="B167" s="3">
        <v>10624</v>
      </c>
      <c r="C167" s="4">
        <v>44906</v>
      </c>
      <c r="D167" t="s">
        <v>13</v>
      </c>
      <c r="E167" s="3">
        <v>4.99</v>
      </c>
      <c r="F167" s="19">
        <v>201</v>
      </c>
      <c r="G167" s="3">
        <v>2.25</v>
      </c>
      <c r="H167" t="e" vm="1">
        <v>#VALUE!</v>
      </c>
      <c r="I167" t="e" cm="1" vm="2">
        <f t="array" aca="1" ref="I167" ca="1">_FV(H167,"Country/region",TRUE)</f>
        <v>#VALUE!</v>
      </c>
      <c r="J167" t="s">
        <v>10</v>
      </c>
      <c r="K167" t="s">
        <v>11</v>
      </c>
      <c r="L167" t="s">
        <v>24</v>
      </c>
      <c r="M167">
        <f>Table1[[#This Row],[Price]]*Table1[[#This Row],[Quantity]]</f>
        <v>1002.99</v>
      </c>
    </row>
    <row r="168" spans="2:13" x14ac:dyDescent="0.25">
      <c r="B168" s="3">
        <v>10625</v>
      </c>
      <c r="C168" s="4">
        <v>44907</v>
      </c>
      <c r="D168" t="s">
        <v>15</v>
      </c>
      <c r="E168" s="3">
        <v>12.99</v>
      </c>
      <c r="F168" s="19">
        <v>570</v>
      </c>
      <c r="G168" s="3">
        <v>4.32</v>
      </c>
      <c r="H168" t="e" vm="1">
        <v>#VALUE!</v>
      </c>
      <c r="I168" t="e" cm="1" vm="2">
        <f t="array" aca="1" ref="I168" ca="1">_FV(H168,"Country/region",TRUE)</f>
        <v>#VALUE!</v>
      </c>
      <c r="J168" t="s">
        <v>10</v>
      </c>
      <c r="K168" t="s">
        <v>11</v>
      </c>
      <c r="L168" t="s">
        <v>24</v>
      </c>
      <c r="M168">
        <f>Table1[[#This Row],[Price]]*Table1[[#This Row],[Quantity]]</f>
        <v>7404.3</v>
      </c>
    </row>
    <row r="169" spans="2:13" x14ac:dyDescent="0.25">
      <c r="B169" s="3">
        <v>10626</v>
      </c>
      <c r="C169" s="4">
        <v>44907</v>
      </c>
      <c r="D169" t="s">
        <v>18</v>
      </c>
      <c r="E169" s="3">
        <v>9.9499999999999993</v>
      </c>
      <c r="F169" s="19">
        <v>202</v>
      </c>
      <c r="G169" s="3">
        <v>2.85</v>
      </c>
      <c r="H169" t="e" vm="1">
        <v>#VALUE!</v>
      </c>
      <c r="I169" t="e" cm="1" vm="2">
        <f t="array" aca="1" ref="I169" ca="1">_FV(H169,"Country/region",TRUE)</f>
        <v>#VALUE!</v>
      </c>
      <c r="J169" t="s">
        <v>10</v>
      </c>
      <c r="K169" t="s">
        <v>11</v>
      </c>
      <c r="L169" t="s">
        <v>24</v>
      </c>
      <c r="M169">
        <f>Table1[[#This Row],[Price]]*Table1[[#This Row],[Quantity]]</f>
        <v>2009.8999999999999</v>
      </c>
    </row>
    <row r="170" spans="2:13" x14ac:dyDescent="0.25">
      <c r="B170" s="3">
        <v>10627</v>
      </c>
      <c r="C170" s="4">
        <v>44907</v>
      </c>
      <c r="D170" t="s">
        <v>9</v>
      </c>
      <c r="E170" s="3">
        <v>3.49</v>
      </c>
      <c r="F170" s="19">
        <v>631</v>
      </c>
      <c r="G170" s="3">
        <v>0.88</v>
      </c>
      <c r="H170" t="e" vm="1">
        <v>#VALUE!</v>
      </c>
      <c r="I170" t="e" cm="1" vm="2">
        <f t="array" aca="1" ref="I170" ca="1">_FV(H170,"Country/region",TRUE)</f>
        <v>#VALUE!</v>
      </c>
      <c r="J170" t="s">
        <v>10</v>
      </c>
      <c r="K170" t="s">
        <v>11</v>
      </c>
      <c r="L170" t="s">
        <v>24</v>
      </c>
      <c r="M170">
        <f>Table1[[#This Row],[Price]]*Table1[[#This Row],[Quantity]]</f>
        <v>2202.19</v>
      </c>
    </row>
    <row r="171" spans="2:13" x14ac:dyDescent="0.25">
      <c r="B171" s="3">
        <v>10628</v>
      </c>
      <c r="C171" s="4">
        <v>44907</v>
      </c>
      <c r="D171" t="s">
        <v>12</v>
      </c>
      <c r="E171" s="3">
        <v>2.95</v>
      </c>
      <c r="F171" s="19">
        <v>678</v>
      </c>
      <c r="G171" s="3">
        <v>0.47</v>
      </c>
      <c r="H171" s="5" t="e" vm="5">
        <v>#VALUE!</v>
      </c>
      <c r="I171" t="e" cm="1" vm="6">
        <f t="array" aca="1" ref="I171" ca="1">_FV(H171,"Country/region",TRUE)</f>
        <v>#VALUE!</v>
      </c>
      <c r="J171" t="s">
        <v>10</v>
      </c>
      <c r="K171" t="s">
        <v>11</v>
      </c>
      <c r="L171" t="s">
        <v>21</v>
      </c>
      <c r="M171">
        <f>Table1[[#This Row],[Price]]*Table1[[#This Row],[Quantity]]</f>
        <v>2000.1000000000001</v>
      </c>
    </row>
    <row r="172" spans="2:13" x14ac:dyDescent="0.25">
      <c r="B172" s="3">
        <v>10629</v>
      </c>
      <c r="C172" s="4">
        <v>44907</v>
      </c>
      <c r="D172" t="s">
        <v>13</v>
      </c>
      <c r="E172" s="3">
        <v>4.99</v>
      </c>
      <c r="F172" s="19">
        <v>201</v>
      </c>
      <c r="G172" s="3">
        <v>2.25</v>
      </c>
      <c r="H172" s="5" t="e" vm="5">
        <v>#VALUE!</v>
      </c>
      <c r="I172" t="e" cm="1" vm="6">
        <f t="array" aca="1" ref="I172" ca="1">_FV(H172,"Country/region",TRUE)</f>
        <v>#VALUE!</v>
      </c>
      <c r="J172" t="s">
        <v>10</v>
      </c>
      <c r="K172" t="s">
        <v>11</v>
      </c>
      <c r="L172" t="s">
        <v>21</v>
      </c>
      <c r="M172">
        <f>Table1[[#This Row],[Price]]*Table1[[#This Row],[Quantity]]</f>
        <v>1002.99</v>
      </c>
    </row>
    <row r="173" spans="2:13" x14ac:dyDescent="0.25">
      <c r="B173" s="3">
        <v>10630</v>
      </c>
      <c r="C173" s="4">
        <v>44908</v>
      </c>
      <c r="D173" t="s">
        <v>15</v>
      </c>
      <c r="E173" s="3">
        <v>12.99</v>
      </c>
      <c r="F173" s="19">
        <v>570</v>
      </c>
      <c r="G173" s="3">
        <v>4.32</v>
      </c>
      <c r="H173" s="5" t="e" vm="5">
        <v>#VALUE!</v>
      </c>
      <c r="I173" t="e" cm="1" vm="6">
        <f t="array" aca="1" ref="I173" ca="1">_FV(H173,"Country/region",TRUE)</f>
        <v>#VALUE!</v>
      </c>
      <c r="J173" t="s">
        <v>10</v>
      </c>
      <c r="K173" t="s">
        <v>23</v>
      </c>
      <c r="L173" t="s">
        <v>21</v>
      </c>
      <c r="M173">
        <f>Table1[[#This Row],[Price]]*Table1[[#This Row],[Quantity]]</f>
        <v>7404.3</v>
      </c>
    </row>
    <row r="174" spans="2:13" x14ac:dyDescent="0.25">
      <c r="B174" s="3">
        <v>10631</v>
      </c>
      <c r="C174" s="4">
        <v>44908</v>
      </c>
      <c r="D174" t="s">
        <v>18</v>
      </c>
      <c r="E174" s="3">
        <v>9.9499999999999993</v>
      </c>
      <c r="F174" s="19">
        <v>202</v>
      </c>
      <c r="G174" s="3">
        <v>2.85</v>
      </c>
      <c r="H174" s="5" t="e" vm="5">
        <v>#VALUE!</v>
      </c>
      <c r="I174" t="e" cm="1" vm="6">
        <f t="array" aca="1" ref="I174" ca="1">_FV(H174,"Country/region",TRUE)</f>
        <v>#VALUE!</v>
      </c>
      <c r="J174" t="s">
        <v>10</v>
      </c>
      <c r="K174" t="s">
        <v>11</v>
      </c>
      <c r="L174" t="s">
        <v>21</v>
      </c>
      <c r="M174">
        <f>Table1[[#This Row],[Price]]*Table1[[#This Row],[Quantity]]</f>
        <v>2009.8999999999999</v>
      </c>
    </row>
    <row r="175" spans="2:13" x14ac:dyDescent="0.25">
      <c r="B175" s="3">
        <v>10632</v>
      </c>
      <c r="C175" s="4">
        <v>44908</v>
      </c>
      <c r="D175" t="s">
        <v>9</v>
      </c>
      <c r="E175" s="3">
        <v>3.49</v>
      </c>
      <c r="F175" s="19">
        <v>631</v>
      </c>
      <c r="G175" s="3">
        <v>0.88</v>
      </c>
      <c r="H175" s="5" t="e" vm="5">
        <v>#VALUE!</v>
      </c>
      <c r="I175" t="e" cm="1" vm="6">
        <f t="array" aca="1" ref="I175" ca="1">_FV(H175,"Country/region",TRUE)</f>
        <v>#VALUE!</v>
      </c>
      <c r="J175" t="s">
        <v>10</v>
      </c>
      <c r="K175" t="s">
        <v>11</v>
      </c>
      <c r="L175" t="s">
        <v>21</v>
      </c>
      <c r="M175">
        <f>Table1[[#This Row],[Price]]*Table1[[#This Row],[Quantity]]</f>
        <v>2202.19</v>
      </c>
    </row>
    <row r="176" spans="2:13" x14ac:dyDescent="0.25">
      <c r="B176" s="3">
        <v>10633</v>
      </c>
      <c r="C176" s="4">
        <v>44908</v>
      </c>
      <c r="D176" t="s">
        <v>12</v>
      </c>
      <c r="E176" s="3">
        <v>2.95</v>
      </c>
      <c r="F176" s="19">
        <v>678</v>
      </c>
      <c r="G176" s="3">
        <v>0.47</v>
      </c>
      <c r="H176" s="5" t="e" vm="5">
        <v>#VALUE!</v>
      </c>
      <c r="I176" t="e" cm="1" vm="6">
        <f t="array" aca="1" ref="I176" ca="1">_FV(H176,"Country/region",TRUE)</f>
        <v>#VALUE!</v>
      </c>
      <c r="J176" t="s">
        <v>10</v>
      </c>
      <c r="K176" t="s">
        <v>11</v>
      </c>
      <c r="L176" t="s">
        <v>21</v>
      </c>
      <c r="M176">
        <f>Table1[[#This Row],[Price]]*Table1[[#This Row],[Quantity]]</f>
        <v>2000.1000000000001</v>
      </c>
    </row>
    <row r="177" spans="2:13" x14ac:dyDescent="0.25">
      <c r="B177" s="3">
        <v>10634</v>
      </c>
      <c r="C177" s="4">
        <v>44908</v>
      </c>
      <c r="D177" t="s">
        <v>13</v>
      </c>
      <c r="E177" s="3">
        <v>4.99</v>
      </c>
      <c r="F177" s="19">
        <v>201</v>
      </c>
      <c r="G177" s="3">
        <v>2.25</v>
      </c>
      <c r="H177" s="5" t="e" vm="5">
        <v>#VALUE!</v>
      </c>
      <c r="I177" t="e" cm="1" vm="6">
        <f t="array" aca="1" ref="I177" ca="1">_FV(H177,"Country/region",TRUE)</f>
        <v>#VALUE!</v>
      </c>
      <c r="J177" t="s">
        <v>10</v>
      </c>
      <c r="K177" t="s">
        <v>11</v>
      </c>
      <c r="L177" t="s">
        <v>21</v>
      </c>
      <c r="M177">
        <f>Table1[[#This Row],[Price]]*Table1[[#This Row],[Quantity]]</f>
        <v>1002.99</v>
      </c>
    </row>
    <row r="178" spans="2:13" x14ac:dyDescent="0.25">
      <c r="B178" s="3">
        <v>10635</v>
      </c>
      <c r="C178" s="4">
        <v>44909</v>
      </c>
      <c r="D178" t="s">
        <v>15</v>
      </c>
      <c r="E178" s="3">
        <v>12.99</v>
      </c>
      <c r="F178" s="19">
        <v>555</v>
      </c>
      <c r="G178" s="3">
        <v>4.32</v>
      </c>
      <c r="H178" s="5" t="e" vm="5">
        <v>#VALUE!</v>
      </c>
      <c r="I178" t="e" cm="1" vm="6">
        <f t="array" aca="1" ref="I178" ca="1">_FV(H178,"Country/region",TRUE)</f>
        <v>#VALUE!</v>
      </c>
      <c r="J178" t="s">
        <v>10</v>
      </c>
      <c r="K178" t="s">
        <v>11</v>
      </c>
      <c r="L178" t="s">
        <v>21</v>
      </c>
      <c r="M178">
        <f>Table1[[#This Row],[Price]]*Table1[[#This Row],[Quantity]]</f>
        <v>7209.45</v>
      </c>
    </row>
    <row r="179" spans="2:13" x14ac:dyDescent="0.25">
      <c r="B179" s="3">
        <v>10636</v>
      </c>
      <c r="C179" s="4">
        <v>44909</v>
      </c>
      <c r="D179" t="s">
        <v>18</v>
      </c>
      <c r="E179" s="3">
        <v>9.9499999999999993</v>
      </c>
      <c r="F179" s="19">
        <v>222</v>
      </c>
      <c r="G179" s="3">
        <v>2.85</v>
      </c>
      <c r="H179" s="5" t="e" vm="5">
        <v>#VALUE!</v>
      </c>
      <c r="I179" t="e" cm="1" vm="6">
        <f t="array" aca="1" ref="I179" ca="1">_FV(H179,"Country/region",TRUE)</f>
        <v>#VALUE!</v>
      </c>
      <c r="J179" t="s">
        <v>10</v>
      </c>
      <c r="K179" t="s">
        <v>11</v>
      </c>
      <c r="L179" t="s">
        <v>21</v>
      </c>
      <c r="M179">
        <f>Table1[[#This Row],[Price]]*Table1[[#This Row],[Quantity]]</f>
        <v>2208.8999999999996</v>
      </c>
    </row>
    <row r="180" spans="2:13" x14ac:dyDescent="0.25">
      <c r="B180" s="3">
        <v>10637</v>
      </c>
      <c r="C180" s="4">
        <v>44909</v>
      </c>
      <c r="D180" t="s">
        <v>9</v>
      </c>
      <c r="E180" s="3">
        <v>3.49</v>
      </c>
      <c r="F180" s="19">
        <v>631</v>
      </c>
      <c r="G180" s="3">
        <v>0.88</v>
      </c>
      <c r="H180" s="5" t="e" vm="5">
        <v>#VALUE!</v>
      </c>
      <c r="I180" t="e" cm="1" vm="6">
        <f t="array" aca="1" ref="I180" ca="1">_FV(H180,"Country/region",TRUE)</f>
        <v>#VALUE!</v>
      </c>
      <c r="J180" t="s">
        <v>10</v>
      </c>
      <c r="K180" t="s">
        <v>11</v>
      </c>
      <c r="L180" t="s">
        <v>21</v>
      </c>
      <c r="M180">
        <f>Table1[[#This Row],[Price]]*Table1[[#This Row],[Quantity]]</f>
        <v>2202.19</v>
      </c>
    </row>
    <row r="181" spans="2:13" x14ac:dyDescent="0.25">
      <c r="B181" s="3">
        <v>10638</v>
      </c>
      <c r="C181" s="4">
        <v>44909</v>
      </c>
      <c r="D181" t="s">
        <v>12</v>
      </c>
      <c r="E181" s="3">
        <v>2.95</v>
      </c>
      <c r="F181" s="19">
        <v>678</v>
      </c>
      <c r="G181" s="3">
        <v>0.47</v>
      </c>
      <c r="H181" s="5" t="e" vm="5">
        <v>#VALUE!</v>
      </c>
      <c r="I181" t="e" cm="1" vm="6">
        <f t="array" aca="1" ref="I181" ca="1">_FV(H181,"Country/region",TRUE)</f>
        <v>#VALUE!</v>
      </c>
      <c r="J181" t="s">
        <v>10</v>
      </c>
      <c r="K181" t="s">
        <v>11</v>
      </c>
      <c r="L181" t="s">
        <v>21</v>
      </c>
      <c r="M181">
        <f>Table1[[#This Row],[Price]]*Table1[[#This Row],[Quantity]]</f>
        <v>2000.1000000000001</v>
      </c>
    </row>
    <row r="182" spans="2:13" x14ac:dyDescent="0.25">
      <c r="B182" s="3">
        <v>10639</v>
      </c>
      <c r="C182" s="4">
        <v>44909</v>
      </c>
      <c r="D182" t="s">
        <v>13</v>
      </c>
      <c r="E182" s="3">
        <v>4.99</v>
      </c>
      <c r="F182" s="19">
        <v>201</v>
      </c>
      <c r="G182" s="3">
        <v>2.25</v>
      </c>
      <c r="H182" s="5" t="e" vm="5">
        <v>#VALUE!</v>
      </c>
      <c r="I182" t="e" cm="1" vm="6">
        <f t="array" aca="1" ref="I182" ca="1">_FV(H182,"Country/region",TRUE)</f>
        <v>#VALUE!</v>
      </c>
      <c r="J182" t="s">
        <v>10</v>
      </c>
      <c r="K182" t="s">
        <v>11</v>
      </c>
      <c r="L182" t="s">
        <v>21</v>
      </c>
      <c r="M182">
        <f>Table1[[#This Row],[Price]]*Table1[[#This Row],[Quantity]]</f>
        <v>1002.99</v>
      </c>
    </row>
    <row r="183" spans="2:13" x14ac:dyDescent="0.25">
      <c r="B183" s="3">
        <v>10640</v>
      </c>
      <c r="C183" s="4">
        <v>44910</v>
      </c>
      <c r="D183" t="s">
        <v>15</v>
      </c>
      <c r="E183" s="3">
        <v>12.99</v>
      </c>
      <c r="F183" s="19">
        <v>539</v>
      </c>
      <c r="G183" s="3">
        <v>4.32</v>
      </c>
      <c r="H183" s="5" t="e" vm="5">
        <v>#VALUE!</v>
      </c>
      <c r="I183" t="e" cm="1" vm="6">
        <f t="array" aca="1" ref="I183" ca="1">_FV(H183,"Country/region",TRUE)</f>
        <v>#VALUE!</v>
      </c>
      <c r="J183" t="s">
        <v>10</v>
      </c>
      <c r="K183" t="s">
        <v>11</v>
      </c>
      <c r="L183" t="s">
        <v>21</v>
      </c>
      <c r="M183">
        <f>Table1[[#This Row],[Price]]*Table1[[#This Row],[Quantity]]</f>
        <v>7001.61</v>
      </c>
    </row>
    <row r="184" spans="2:13" x14ac:dyDescent="0.25">
      <c r="B184" s="3">
        <v>10641</v>
      </c>
      <c r="C184" s="4">
        <v>44910</v>
      </c>
      <c r="D184" t="s">
        <v>18</v>
      </c>
      <c r="E184" s="3">
        <v>9.9499999999999993</v>
      </c>
      <c r="F184" s="19">
        <v>222</v>
      </c>
      <c r="G184" s="3">
        <v>2.85</v>
      </c>
      <c r="H184" s="5" t="e" vm="5">
        <v>#VALUE!</v>
      </c>
      <c r="I184" t="e" cm="1" vm="6">
        <f t="array" aca="1" ref="I184" ca="1">_FV(H184,"Country/region",TRUE)</f>
        <v>#VALUE!</v>
      </c>
      <c r="J184" t="s">
        <v>10</v>
      </c>
      <c r="K184" t="s">
        <v>11</v>
      </c>
      <c r="L184" t="s">
        <v>21</v>
      </c>
      <c r="M184">
        <f>Table1[[#This Row],[Price]]*Table1[[#This Row],[Quantity]]</f>
        <v>2208.8999999999996</v>
      </c>
    </row>
    <row r="185" spans="2:13" x14ac:dyDescent="0.25">
      <c r="B185" s="3">
        <v>10642</v>
      </c>
      <c r="C185" s="4">
        <v>44910</v>
      </c>
      <c r="D185" t="s">
        <v>9</v>
      </c>
      <c r="E185" s="3">
        <v>3.49</v>
      </c>
      <c r="F185" s="19">
        <v>631</v>
      </c>
      <c r="G185" s="3">
        <v>0.88</v>
      </c>
      <c r="H185" s="5" t="e" vm="5">
        <v>#VALUE!</v>
      </c>
      <c r="I185" t="e" cm="1" vm="6">
        <f t="array" aca="1" ref="I185" ca="1">_FV(H185,"Country/region",TRUE)</f>
        <v>#VALUE!</v>
      </c>
      <c r="J185" t="s">
        <v>10</v>
      </c>
      <c r="K185" t="s">
        <v>23</v>
      </c>
      <c r="L185" t="s">
        <v>21</v>
      </c>
      <c r="M185">
        <f>Table1[[#This Row],[Price]]*Table1[[#This Row],[Quantity]]</f>
        <v>2202.19</v>
      </c>
    </row>
    <row r="186" spans="2:13" x14ac:dyDescent="0.25">
      <c r="B186" s="3">
        <v>10643</v>
      </c>
      <c r="C186" s="4">
        <v>44910</v>
      </c>
      <c r="D186" t="s">
        <v>12</v>
      </c>
      <c r="E186" s="3">
        <v>2.95</v>
      </c>
      <c r="F186" s="19">
        <v>678</v>
      </c>
      <c r="G186" s="3">
        <v>0.47</v>
      </c>
      <c r="H186" s="5" t="e" vm="5">
        <v>#VALUE!</v>
      </c>
      <c r="I186" t="e" cm="1" vm="6">
        <f t="array" aca="1" ref="I186" ca="1">_FV(H186,"Country/region",TRUE)</f>
        <v>#VALUE!</v>
      </c>
      <c r="J186" t="s">
        <v>10</v>
      </c>
      <c r="K186" t="s">
        <v>23</v>
      </c>
      <c r="L186" t="s">
        <v>21</v>
      </c>
      <c r="M186">
        <f>Table1[[#This Row],[Price]]*Table1[[#This Row],[Quantity]]</f>
        <v>2000.1000000000001</v>
      </c>
    </row>
    <row r="187" spans="2:13" x14ac:dyDescent="0.25">
      <c r="B187" s="3">
        <v>10644</v>
      </c>
      <c r="C187" s="4">
        <v>44910</v>
      </c>
      <c r="D187" t="s">
        <v>13</v>
      </c>
      <c r="E187" s="3">
        <v>4.99</v>
      </c>
      <c r="F187" s="19">
        <v>201</v>
      </c>
      <c r="G187" s="3">
        <v>2.25</v>
      </c>
      <c r="H187" s="5" t="e" vm="5">
        <v>#VALUE!</v>
      </c>
      <c r="I187" t="e" cm="1" vm="6">
        <f t="array" aca="1" ref="I187" ca="1">_FV(H187,"Country/region",TRUE)</f>
        <v>#VALUE!</v>
      </c>
      <c r="J187" t="s">
        <v>10</v>
      </c>
      <c r="K187" t="s">
        <v>23</v>
      </c>
      <c r="L187" t="s">
        <v>21</v>
      </c>
      <c r="M187">
        <f>Table1[[#This Row],[Price]]*Table1[[#This Row],[Quantity]]</f>
        <v>1002.99</v>
      </c>
    </row>
    <row r="188" spans="2:13" x14ac:dyDescent="0.25">
      <c r="B188" s="3">
        <v>10645</v>
      </c>
      <c r="C188" s="4">
        <v>44911</v>
      </c>
      <c r="D188" t="s">
        <v>15</v>
      </c>
      <c r="E188" s="3">
        <v>12.99</v>
      </c>
      <c r="F188" s="19">
        <v>570</v>
      </c>
      <c r="G188" s="3">
        <v>4.32</v>
      </c>
      <c r="H188" s="5" t="e" vm="5">
        <v>#VALUE!</v>
      </c>
      <c r="I188" t="e" cm="1" vm="6">
        <f t="array" aca="1" ref="I188" ca="1">_FV(H188,"Country/region",TRUE)</f>
        <v>#VALUE!</v>
      </c>
      <c r="J188" t="s">
        <v>10</v>
      </c>
      <c r="K188" t="s">
        <v>23</v>
      </c>
      <c r="L188" t="s">
        <v>21</v>
      </c>
      <c r="M188">
        <f>Table1[[#This Row],[Price]]*Table1[[#This Row],[Quantity]]</f>
        <v>7404.3</v>
      </c>
    </row>
    <row r="189" spans="2:13" x14ac:dyDescent="0.25">
      <c r="B189" s="3">
        <v>10646</v>
      </c>
      <c r="C189" s="4">
        <v>44911</v>
      </c>
      <c r="D189" t="s">
        <v>18</v>
      </c>
      <c r="E189" s="3">
        <v>9.9499999999999993</v>
      </c>
      <c r="F189" s="19">
        <v>222</v>
      </c>
      <c r="G189" s="3">
        <v>2.85</v>
      </c>
      <c r="H189" s="5" t="e" vm="5">
        <v>#VALUE!</v>
      </c>
      <c r="I189" t="e" cm="1" vm="6">
        <f t="array" aca="1" ref="I189" ca="1">_FV(H189,"Country/region",TRUE)</f>
        <v>#VALUE!</v>
      </c>
      <c r="J189" t="s">
        <v>10</v>
      </c>
      <c r="K189" t="s">
        <v>23</v>
      </c>
      <c r="L189" t="s">
        <v>21</v>
      </c>
      <c r="M189">
        <f>Table1[[#This Row],[Price]]*Table1[[#This Row],[Quantity]]</f>
        <v>2208.8999999999996</v>
      </c>
    </row>
    <row r="190" spans="2:13" x14ac:dyDescent="0.25">
      <c r="B190" s="3">
        <v>10647</v>
      </c>
      <c r="C190" s="4">
        <v>44911</v>
      </c>
      <c r="D190" t="s">
        <v>9</v>
      </c>
      <c r="E190" s="3">
        <v>3.49</v>
      </c>
      <c r="F190" s="19">
        <v>631</v>
      </c>
      <c r="G190" s="3">
        <v>0.88</v>
      </c>
      <c r="H190" s="5" t="e" vm="5">
        <v>#VALUE!</v>
      </c>
      <c r="I190" t="e" cm="1" vm="6">
        <f t="array" aca="1" ref="I190" ca="1">_FV(H190,"Country/region",TRUE)</f>
        <v>#VALUE!</v>
      </c>
      <c r="J190" t="s">
        <v>10</v>
      </c>
      <c r="K190" t="s">
        <v>11</v>
      </c>
      <c r="L190" t="s">
        <v>21</v>
      </c>
      <c r="M190">
        <f>Table1[[#This Row],[Price]]*Table1[[#This Row],[Quantity]]</f>
        <v>2202.19</v>
      </c>
    </row>
    <row r="191" spans="2:13" x14ac:dyDescent="0.25">
      <c r="B191" s="3">
        <v>10648</v>
      </c>
      <c r="C191" s="4">
        <v>44911</v>
      </c>
      <c r="D191" t="s">
        <v>12</v>
      </c>
      <c r="E191" s="3">
        <v>2.95</v>
      </c>
      <c r="F191" s="19">
        <v>746</v>
      </c>
      <c r="G191" s="3">
        <v>0.47</v>
      </c>
      <c r="H191" s="5" t="e" vm="5">
        <v>#VALUE!</v>
      </c>
      <c r="I191" t="e" cm="1" vm="6">
        <f t="array" aca="1" ref="I191" ca="1">_FV(H191,"Country/region",TRUE)</f>
        <v>#VALUE!</v>
      </c>
      <c r="J191" t="s">
        <v>10</v>
      </c>
      <c r="K191" t="s">
        <v>11</v>
      </c>
      <c r="L191" t="s">
        <v>21</v>
      </c>
      <c r="M191">
        <f>Table1[[#This Row],[Price]]*Table1[[#This Row],[Quantity]]</f>
        <v>2200.7000000000003</v>
      </c>
    </row>
    <row r="192" spans="2:13" x14ac:dyDescent="0.25">
      <c r="B192" s="3">
        <v>10649</v>
      </c>
      <c r="C192" s="4">
        <v>44911</v>
      </c>
      <c r="D192" t="s">
        <v>13</v>
      </c>
      <c r="E192" s="3">
        <v>4.99</v>
      </c>
      <c r="F192" s="19">
        <v>201</v>
      </c>
      <c r="G192" s="3">
        <v>2.25</v>
      </c>
      <c r="H192" s="5" t="e" vm="5">
        <v>#VALUE!</v>
      </c>
      <c r="I192" t="e" cm="1" vm="6">
        <f t="array" aca="1" ref="I192" ca="1">_FV(H192,"Country/region",TRUE)</f>
        <v>#VALUE!</v>
      </c>
      <c r="J192" t="s">
        <v>10</v>
      </c>
      <c r="K192" t="s">
        <v>11</v>
      </c>
      <c r="L192" t="s">
        <v>21</v>
      </c>
      <c r="M192">
        <f>Table1[[#This Row],[Price]]*Table1[[#This Row],[Quantity]]</f>
        <v>1002.99</v>
      </c>
    </row>
    <row r="193" spans="2:13" x14ac:dyDescent="0.25">
      <c r="B193" s="3">
        <v>10650</v>
      </c>
      <c r="C193" s="4">
        <v>44912</v>
      </c>
      <c r="D193" t="s">
        <v>15</v>
      </c>
      <c r="E193" s="3">
        <v>12.99</v>
      </c>
      <c r="F193" s="19">
        <v>586</v>
      </c>
      <c r="G193" s="3">
        <v>4.32</v>
      </c>
      <c r="H193" s="5" t="e" vm="5">
        <v>#VALUE!</v>
      </c>
      <c r="I193" t="e" cm="1" vm="6">
        <f t="array" aca="1" ref="I193" ca="1">_FV(H193,"Country/region",TRUE)</f>
        <v>#VALUE!</v>
      </c>
      <c r="J193" t="s">
        <v>10</v>
      </c>
      <c r="K193" t="s">
        <v>11</v>
      </c>
      <c r="L193" t="s">
        <v>21</v>
      </c>
      <c r="M193">
        <f>Table1[[#This Row],[Price]]*Table1[[#This Row],[Quantity]]</f>
        <v>7612.14</v>
      </c>
    </row>
    <row r="194" spans="2:13" x14ac:dyDescent="0.25">
      <c r="B194" s="3">
        <v>10651</v>
      </c>
      <c r="C194" s="4">
        <v>44912</v>
      </c>
      <c r="D194" t="s">
        <v>18</v>
      </c>
      <c r="E194" s="3">
        <v>9.9499999999999993</v>
      </c>
      <c r="F194" s="19">
        <v>222</v>
      </c>
      <c r="G194" s="3">
        <v>2.85</v>
      </c>
      <c r="H194" s="5" t="e" vm="5">
        <v>#VALUE!</v>
      </c>
      <c r="I194" t="e" cm="1" vm="6">
        <f t="array" aca="1" ref="I194" ca="1">_FV(H194,"Country/region",TRUE)</f>
        <v>#VALUE!</v>
      </c>
      <c r="J194" t="s">
        <v>10</v>
      </c>
      <c r="K194" t="s">
        <v>11</v>
      </c>
      <c r="L194" t="s">
        <v>21</v>
      </c>
      <c r="M194">
        <f>Table1[[#This Row],[Price]]*Table1[[#This Row],[Quantity]]</f>
        <v>2208.8999999999996</v>
      </c>
    </row>
    <row r="195" spans="2:13" x14ac:dyDescent="0.25">
      <c r="B195" s="3">
        <v>10652</v>
      </c>
      <c r="C195" s="4">
        <v>44912</v>
      </c>
      <c r="D195" t="s">
        <v>9</v>
      </c>
      <c r="E195" s="3">
        <v>3.49</v>
      </c>
      <c r="F195" s="19">
        <v>688</v>
      </c>
      <c r="G195" s="3">
        <v>0.88</v>
      </c>
      <c r="H195" s="5" t="e" vm="5">
        <v>#VALUE!</v>
      </c>
      <c r="I195" t="e" cm="1" vm="6">
        <f t="array" aca="1" ref="I195" ca="1">_FV(H195,"Country/region",TRUE)</f>
        <v>#VALUE!</v>
      </c>
      <c r="J195" t="s">
        <v>10</v>
      </c>
      <c r="K195" t="s">
        <v>11</v>
      </c>
      <c r="L195" t="s">
        <v>21</v>
      </c>
      <c r="M195">
        <f>Table1[[#This Row],[Price]]*Table1[[#This Row],[Quantity]]</f>
        <v>2401.1200000000003</v>
      </c>
    </row>
    <row r="196" spans="2:13" x14ac:dyDescent="0.25">
      <c r="B196" s="3">
        <v>10653</v>
      </c>
      <c r="C196" s="4">
        <v>44912</v>
      </c>
      <c r="D196" t="s">
        <v>12</v>
      </c>
      <c r="E196" s="3">
        <v>2.95</v>
      </c>
      <c r="F196" s="19">
        <v>746</v>
      </c>
      <c r="G196" s="3">
        <v>0.47</v>
      </c>
      <c r="H196" s="5" t="e" vm="5">
        <v>#VALUE!</v>
      </c>
      <c r="I196" t="e" cm="1" vm="6">
        <f t="array" aca="1" ref="I196" ca="1">_FV(H196,"Country/region",TRUE)</f>
        <v>#VALUE!</v>
      </c>
      <c r="J196" t="s">
        <v>10</v>
      </c>
      <c r="K196" t="s">
        <v>11</v>
      </c>
      <c r="L196" t="s">
        <v>21</v>
      </c>
      <c r="M196">
        <f>Table1[[#This Row],[Price]]*Table1[[#This Row],[Quantity]]</f>
        <v>2200.7000000000003</v>
      </c>
    </row>
    <row r="197" spans="2:13" x14ac:dyDescent="0.25">
      <c r="B197" s="3">
        <v>10654</v>
      </c>
      <c r="C197" s="4">
        <v>44912</v>
      </c>
      <c r="D197" t="s">
        <v>13</v>
      </c>
      <c r="E197" s="3">
        <v>4.99</v>
      </c>
      <c r="F197" s="19">
        <v>201</v>
      </c>
      <c r="G197" s="3">
        <v>2.25</v>
      </c>
      <c r="H197" s="5" t="e" vm="5">
        <v>#VALUE!</v>
      </c>
      <c r="I197" t="e" cm="1" vm="6">
        <f t="array" aca="1" ref="I197" ca="1">_FV(H197,"Country/region",TRUE)</f>
        <v>#VALUE!</v>
      </c>
      <c r="J197" t="s">
        <v>10</v>
      </c>
      <c r="K197" t="s">
        <v>11</v>
      </c>
      <c r="L197" t="s">
        <v>21</v>
      </c>
      <c r="M197">
        <f>Table1[[#This Row],[Price]]*Table1[[#This Row],[Quantity]]</f>
        <v>1002.99</v>
      </c>
    </row>
    <row r="198" spans="2:13" x14ac:dyDescent="0.25">
      <c r="B198" s="3">
        <v>10655</v>
      </c>
      <c r="C198" s="4">
        <v>44913</v>
      </c>
      <c r="D198" t="s">
        <v>15</v>
      </c>
      <c r="E198" s="3">
        <v>12.99</v>
      </c>
      <c r="F198" s="19">
        <v>601</v>
      </c>
      <c r="G198" s="3">
        <v>4.32</v>
      </c>
      <c r="H198" s="5" t="e" vm="5">
        <v>#VALUE!</v>
      </c>
      <c r="I198" t="e" cm="1" vm="6">
        <f t="array" aca="1" ref="I198" ca="1">_FV(H198,"Country/region",TRUE)</f>
        <v>#VALUE!</v>
      </c>
      <c r="J198" t="s">
        <v>10</v>
      </c>
      <c r="K198" t="s">
        <v>11</v>
      </c>
      <c r="L198" t="s">
        <v>21</v>
      </c>
      <c r="M198">
        <f>Table1[[#This Row],[Price]]*Table1[[#This Row],[Quantity]]</f>
        <v>7806.99</v>
      </c>
    </row>
    <row r="199" spans="2:13" x14ac:dyDescent="0.25">
      <c r="B199" s="3">
        <v>10656</v>
      </c>
      <c r="C199" s="4">
        <v>44913</v>
      </c>
      <c r="D199" t="s">
        <v>18</v>
      </c>
      <c r="E199" s="3">
        <v>9.9499999999999993</v>
      </c>
      <c r="F199" s="19">
        <v>222</v>
      </c>
      <c r="G199" s="3">
        <v>2.85</v>
      </c>
      <c r="H199" s="5" t="e" vm="5">
        <v>#VALUE!</v>
      </c>
      <c r="I199" t="e" cm="1" vm="6">
        <f t="array" aca="1" ref="I199" ca="1">_FV(H199,"Country/region",TRUE)</f>
        <v>#VALUE!</v>
      </c>
      <c r="J199" t="s">
        <v>10</v>
      </c>
      <c r="K199" t="s">
        <v>11</v>
      </c>
      <c r="L199" t="s">
        <v>21</v>
      </c>
      <c r="M199">
        <f>Table1[[#This Row],[Price]]*Table1[[#This Row],[Quantity]]</f>
        <v>2208.8999999999996</v>
      </c>
    </row>
    <row r="200" spans="2:13" x14ac:dyDescent="0.25">
      <c r="B200" s="3">
        <v>10657</v>
      </c>
      <c r="C200" s="4">
        <v>44913</v>
      </c>
      <c r="D200" t="s">
        <v>9</v>
      </c>
      <c r="E200" s="3">
        <v>3.49</v>
      </c>
      <c r="F200" s="19">
        <v>688</v>
      </c>
      <c r="G200" s="3">
        <v>0.88</v>
      </c>
      <c r="H200" s="5" t="e" vm="5">
        <v>#VALUE!</v>
      </c>
      <c r="I200" t="e" cm="1" vm="6">
        <f t="array" aca="1" ref="I200" ca="1">_FV(H200,"Country/region",TRUE)</f>
        <v>#VALUE!</v>
      </c>
      <c r="J200" t="s">
        <v>10</v>
      </c>
      <c r="K200" t="s">
        <v>11</v>
      </c>
      <c r="L200" t="s">
        <v>21</v>
      </c>
      <c r="M200">
        <f>Table1[[#This Row],[Price]]*Table1[[#This Row],[Quantity]]</f>
        <v>2401.1200000000003</v>
      </c>
    </row>
    <row r="201" spans="2:13" x14ac:dyDescent="0.25">
      <c r="B201" s="3">
        <v>10658</v>
      </c>
      <c r="C201" s="4">
        <v>44913</v>
      </c>
      <c r="D201" t="s">
        <v>12</v>
      </c>
      <c r="E201" s="3">
        <v>2.95</v>
      </c>
      <c r="F201" s="19">
        <v>746</v>
      </c>
      <c r="G201" s="3">
        <v>0.47</v>
      </c>
      <c r="H201" s="5" t="e" vm="5">
        <v>#VALUE!</v>
      </c>
      <c r="I201" t="e" cm="1" vm="6">
        <f t="array" aca="1" ref="I201" ca="1">_FV(H201,"Country/region",TRUE)</f>
        <v>#VALUE!</v>
      </c>
      <c r="J201" t="s">
        <v>10</v>
      </c>
      <c r="K201" t="s">
        <v>23</v>
      </c>
      <c r="L201" t="s">
        <v>21</v>
      </c>
      <c r="M201">
        <f>Table1[[#This Row],[Price]]*Table1[[#This Row],[Quantity]]</f>
        <v>2200.7000000000003</v>
      </c>
    </row>
    <row r="202" spans="2:13" x14ac:dyDescent="0.25">
      <c r="B202" s="3">
        <v>10659</v>
      </c>
      <c r="C202" s="4">
        <v>44913</v>
      </c>
      <c r="D202" t="s">
        <v>13</v>
      </c>
      <c r="E202" s="3">
        <v>4.99</v>
      </c>
      <c r="F202" s="19">
        <v>201</v>
      </c>
      <c r="G202" s="3">
        <v>2.25</v>
      </c>
      <c r="H202" s="5" t="e" vm="5">
        <v>#VALUE!</v>
      </c>
      <c r="I202" t="e" cm="1" vm="6">
        <f t="array" aca="1" ref="I202" ca="1">_FV(H202,"Country/region",TRUE)</f>
        <v>#VALUE!</v>
      </c>
      <c r="J202" t="s">
        <v>10</v>
      </c>
      <c r="K202" t="s">
        <v>23</v>
      </c>
      <c r="L202" t="s">
        <v>21</v>
      </c>
      <c r="M202">
        <f>Table1[[#This Row],[Price]]*Table1[[#This Row],[Quantity]]</f>
        <v>1002.99</v>
      </c>
    </row>
    <row r="203" spans="2:13" x14ac:dyDescent="0.25">
      <c r="B203" s="3">
        <v>10660</v>
      </c>
      <c r="C203" s="4">
        <v>44914</v>
      </c>
      <c r="D203" t="s">
        <v>15</v>
      </c>
      <c r="E203" s="3">
        <v>12.99</v>
      </c>
      <c r="F203" s="19">
        <v>632</v>
      </c>
      <c r="G203" s="3">
        <v>4.32</v>
      </c>
      <c r="H203" s="5" t="e" vm="5">
        <v>#VALUE!</v>
      </c>
      <c r="I203" t="e" cm="1" vm="6">
        <f t="array" aca="1" ref="I203" ca="1">_FV(H203,"Country/region",TRUE)</f>
        <v>#VALUE!</v>
      </c>
      <c r="J203" t="s">
        <v>14</v>
      </c>
      <c r="K203" t="s">
        <v>23</v>
      </c>
      <c r="L203" t="s">
        <v>21</v>
      </c>
      <c r="M203">
        <f>Table1[[#This Row],[Price]]*Table1[[#This Row],[Quantity]]</f>
        <v>8209.68</v>
      </c>
    </row>
    <row r="204" spans="2:13" x14ac:dyDescent="0.25">
      <c r="B204" s="3">
        <v>10661</v>
      </c>
      <c r="C204" s="4">
        <v>44914</v>
      </c>
      <c r="D204" t="s">
        <v>18</v>
      </c>
      <c r="E204" s="3">
        <v>9.9499999999999993</v>
      </c>
      <c r="F204" s="19">
        <v>222</v>
      </c>
      <c r="G204" s="3">
        <v>2.85</v>
      </c>
      <c r="H204" s="5" t="e" vm="5">
        <v>#VALUE!</v>
      </c>
      <c r="I204" t="e" cm="1" vm="6">
        <f t="array" aca="1" ref="I204" ca="1">_FV(H204,"Country/region",TRUE)</f>
        <v>#VALUE!</v>
      </c>
      <c r="J204" t="s">
        <v>14</v>
      </c>
      <c r="K204" t="s">
        <v>23</v>
      </c>
      <c r="L204" t="s">
        <v>21</v>
      </c>
      <c r="M204">
        <f>Table1[[#This Row],[Price]]*Table1[[#This Row],[Quantity]]</f>
        <v>2208.8999999999996</v>
      </c>
    </row>
    <row r="205" spans="2:13" x14ac:dyDescent="0.25">
      <c r="B205" s="3">
        <v>10662</v>
      </c>
      <c r="C205" s="4">
        <v>44914</v>
      </c>
      <c r="D205" t="s">
        <v>9</v>
      </c>
      <c r="E205" s="3">
        <v>3.49</v>
      </c>
      <c r="F205" s="19">
        <v>631</v>
      </c>
      <c r="G205" s="3">
        <v>0.88</v>
      </c>
      <c r="H205" s="5" t="e" vm="5">
        <v>#VALUE!</v>
      </c>
      <c r="I205" t="e" cm="1" vm="6">
        <f t="array" aca="1" ref="I205" ca="1">_FV(H205,"Country/region",TRUE)</f>
        <v>#VALUE!</v>
      </c>
      <c r="J205" t="s">
        <v>14</v>
      </c>
      <c r="K205" t="s">
        <v>23</v>
      </c>
      <c r="L205" t="s">
        <v>21</v>
      </c>
      <c r="M205">
        <f>Table1[[#This Row],[Price]]*Table1[[#This Row],[Quantity]]</f>
        <v>2202.19</v>
      </c>
    </row>
    <row r="206" spans="2:13" x14ac:dyDescent="0.25">
      <c r="B206" s="3">
        <v>10663</v>
      </c>
      <c r="C206" s="4">
        <v>44914</v>
      </c>
      <c r="D206" t="s">
        <v>12</v>
      </c>
      <c r="E206" s="3">
        <v>2.95</v>
      </c>
      <c r="F206" s="19">
        <v>746</v>
      </c>
      <c r="G206" s="3">
        <v>0.47</v>
      </c>
      <c r="H206" s="5" t="e" vm="5">
        <v>#VALUE!</v>
      </c>
      <c r="I206" t="e" cm="1" vm="6">
        <f t="array" aca="1" ref="I206" ca="1">_FV(H206,"Country/region",TRUE)</f>
        <v>#VALUE!</v>
      </c>
      <c r="J206" t="s">
        <v>14</v>
      </c>
      <c r="K206" t="s">
        <v>23</v>
      </c>
      <c r="L206" t="s">
        <v>21</v>
      </c>
      <c r="M206">
        <f>Table1[[#This Row],[Price]]*Table1[[#This Row],[Quantity]]</f>
        <v>2200.7000000000003</v>
      </c>
    </row>
    <row r="207" spans="2:13" x14ac:dyDescent="0.25">
      <c r="B207" s="3">
        <v>10664</v>
      </c>
      <c r="C207" s="4">
        <v>44914</v>
      </c>
      <c r="D207" t="s">
        <v>13</v>
      </c>
      <c r="E207" s="3">
        <v>4.99</v>
      </c>
      <c r="F207" s="19">
        <v>201</v>
      </c>
      <c r="G207" s="3">
        <v>2.25</v>
      </c>
      <c r="H207" s="5" t="e" vm="5">
        <v>#VALUE!</v>
      </c>
      <c r="I207" t="e" cm="1" vm="6">
        <f t="array" aca="1" ref="I207" ca="1">_FV(H207,"Country/region",TRUE)</f>
        <v>#VALUE!</v>
      </c>
      <c r="J207" t="s">
        <v>14</v>
      </c>
      <c r="K207" t="s">
        <v>23</v>
      </c>
      <c r="L207" t="s">
        <v>21</v>
      </c>
      <c r="M207">
        <f>Table1[[#This Row],[Price]]*Table1[[#This Row],[Quantity]]</f>
        <v>1002.99</v>
      </c>
    </row>
    <row r="208" spans="2:13" x14ac:dyDescent="0.25">
      <c r="B208" s="3">
        <v>10665</v>
      </c>
      <c r="C208" s="4">
        <v>44915</v>
      </c>
      <c r="D208" t="s">
        <v>15</v>
      </c>
      <c r="E208" s="3">
        <v>12.99</v>
      </c>
      <c r="F208" s="19">
        <v>647</v>
      </c>
      <c r="G208" s="3">
        <v>4.32</v>
      </c>
      <c r="H208" s="5" t="e" vm="5">
        <v>#VALUE!</v>
      </c>
      <c r="I208" t="e" cm="1" vm="6">
        <f t="array" aca="1" ref="I208" ca="1">_FV(H208,"Country/region",TRUE)</f>
        <v>#VALUE!</v>
      </c>
      <c r="J208" t="s">
        <v>14</v>
      </c>
      <c r="K208" t="s">
        <v>23</v>
      </c>
      <c r="L208" t="s">
        <v>21</v>
      </c>
      <c r="M208">
        <f>Table1[[#This Row],[Price]]*Table1[[#This Row],[Quantity]]</f>
        <v>8404.5300000000007</v>
      </c>
    </row>
    <row r="209" spans="2:13" x14ac:dyDescent="0.25">
      <c r="B209" s="3">
        <v>10666</v>
      </c>
      <c r="C209" s="4">
        <v>44915</v>
      </c>
      <c r="D209" t="s">
        <v>18</v>
      </c>
      <c r="E209" s="3">
        <v>9.9499999999999993</v>
      </c>
      <c r="F209" s="19">
        <v>222</v>
      </c>
      <c r="G209" s="3">
        <v>2.85</v>
      </c>
      <c r="H209" s="5" t="e" vm="5">
        <v>#VALUE!</v>
      </c>
      <c r="I209" t="e" cm="1" vm="6">
        <f t="array" aca="1" ref="I209" ca="1">_FV(H209,"Country/region",TRUE)</f>
        <v>#VALUE!</v>
      </c>
      <c r="J209" t="s">
        <v>14</v>
      </c>
      <c r="K209" t="s">
        <v>23</v>
      </c>
      <c r="L209" t="s">
        <v>21</v>
      </c>
      <c r="M209">
        <f>Table1[[#This Row],[Price]]*Table1[[#This Row],[Quantity]]</f>
        <v>2208.8999999999996</v>
      </c>
    </row>
    <row r="210" spans="2:13" x14ac:dyDescent="0.25">
      <c r="B210" s="3">
        <v>10667</v>
      </c>
      <c r="C210" s="4">
        <v>44915</v>
      </c>
      <c r="D210" t="s">
        <v>9</v>
      </c>
      <c r="E210" s="3">
        <v>3.49</v>
      </c>
      <c r="F210" s="19">
        <v>631</v>
      </c>
      <c r="G210" s="3">
        <v>0.88</v>
      </c>
      <c r="H210" s="5" t="e" vm="5">
        <v>#VALUE!</v>
      </c>
      <c r="I210" t="e" cm="1" vm="6">
        <f t="array" aca="1" ref="I210" ca="1">_FV(H210,"Country/region",TRUE)</f>
        <v>#VALUE!</v>
      </c>
      <c r="J210" t="s">
        <v>14</v>
      </c>
      <c r="K210" t="s">
        <v>23</v>
      </c>
      <c r="L210" t="s">
        <v>21</v>
      </c>
      <c r="M210">
        <f>Table1[[#This Row],[Price]]*Table1[[#This Row],[Quantity]]</f>
        <v>2202.19</v>
      </c>
    </row>
    <row r="211" spans="2:13" x14ac:dyDescent="0.25">
      <c r="B211" s="3">
        <v>10668</v>
      </c>
      <c r="C211" s="4">
        <v>44915</v>
      </c>
      <c r="D211" t="s">
        <v>12</v>
      </c>
      <c r="E211" s="3">
        <v>2.95</v>
      </c>
      <c r="F211" s="19">
        <v>746</v>
      </c>
      <c r="G211" s="3">
        <v>0.47</v>
      </c>
      <c r="H211" s="5" t="e" vm="5">
        <v>#VALUE!</v>
      </c>
      <c r="I211" t="e" cm="1" vm="6">
        <f t="array" aca="1" ref="I211" ca="1">_FV(H211,"Country/region",TRUE)</f>
        <v>#VALUE!</v>
      </c>
      <c r="J211" t="s">
        <v>14</v>
      </c>
      <c r="K211" t="s">
        <v>23</v>
      </c>
      <c r="L211" t="s">
        <v>21</v>
      </c>
      <c r="M211">
        <f>Table1[[#This Row],[Price]]*Table1[[#This Row],[Quantity]]</f>
        <v>2200.7000000000003</v>
      </c>
    </row>
    <row r="212" spans="2:13" x14ac:dyDescent="0.25">
      <c r="B212" s="3">
        <v>10669</v>
      </c>
      <c r="C212" s="4">
        <v>44915</v>
      </c>
      <c r="D212" t="s">
        <v>13</v>
      </c>
      <c r="E212" s="3">
        <v>4.99</v>
      </c>
      <c r="F212" s="19">
        <v>201</v>
      </c>
      <c r="G212" s="3">
        <v>2.25</v>
      </c>
      <c r="H212" s="5" t="e" vm="5">
        <v>#VALUE!</v>
      </c>
      <c r="I212" t="e" cm="1" vm="6">
        <f t="array" aca="1" ref="I212" ca="1">_FV(H212,"Country/region",TRUE)</f>
        <v>#VALUE!</v>
      </c>
      <c r="J212" t="s">
        <v>14</v>
      </c>
      <c r="K212" t="s">
        <v>23</v>
      </c>
      <c r="L212" t="s">
        <v>21</v>
      </c>
      <c r="M212">
        <f>Table1[[#This Row],[Price]]*Table1[[#This Row],[Quantity]]</f>
        <v>1002.99</v>
      </c>
    </row>
    <row r="213" spans="2:13" x14ac:dyDescent="0.25">
      <c r="B213" s="3">
        <v>10670</v>
      </c>
      <c r="C213" s="4">
        <v>44916</v>
      </c>
      <c r="D213" t="s">
        <v>15</v>
      </c>
      <c r="E213" s="3">
        <v>12.99</v>
      </c>
      <c r="F213" s="19">
        <v>678</v>
      </c>
      <c r="G213" s="3">
        <v>4.32</v>
      </c>
      <c r="H213" s="5" t="e" vm="5">
        <v>#VALUE!</v>
      </c>
      <c r="I213" t="e" cm="1" vm="6">
        <f t="array" aca="1" ref="I213" ca="1">_FV(H213,"Country/region",TRUE)</f>
        <v>#VALUE!</v>
      </c>
      <c r="J213" t="s">
        <v>14</v>
      </c>
      <c r="K213" t="s">
        <v>23</v>
      </c>
      <c r="L213" t="s">
        <v>21</v>
      </c>
      <c r="M213">
        <f>Table1[[#This Row],[Price]]*Table1[[#This Row],[Quantity]]</f>
        <v>8807.2199999999993</v>
      </c>
    </row>
    <row r="214" spans="2:13" x14ac:dyDescent="0.25">
      <c r="B214" s="3">
        <v>10671</v>
      </c>
      <c r="C214" s="4">
        <v>44916</v>
      </c>
      <c r="D214" t="s">
        <v>18</v>
      </c>
      <c r="E214" s="3">
        <v>9.9499999999999993</v>
      </c>
      <c r="F214" s="19">
        <v>222</v>
      </c>
      <c r="G214" s="3">
        <v>2.85</v>
      </c>
      <c r="H214" s="5" t="e" vm="5">
        <v>#VALUE!</v>
      </c>
      <c r="I214" t="e" cm="1" vm="6">
        <f t="array" aca="1" ref="I214" ca="1">_FV(H214,"Country/region",TRUE)</f>
        <v>#VALUE!</v>
      </c>
      <c r="J214" t="s">
        <v>14</v>
      </c>
      <c r="K214" t="s">
        <v>23</v>
      </c>
      <c r="L214" t="s">
        <v>21</v>
      </c>
      <c r="M214">
        <f>Table1[[#This Row],[Price]]*Table1[[#This Row],[Quantity]]</f>
        <v>2208.8999999999996</v>
      </c>
    </row>
    <row r="215" spans="2:13" x14ac:dyDescent="0.25">
      <c r="B215" s="3">
        <v>10672</v>
      </c>
      <c r="C215" s="4">
        <v>44916</v>
      </c>
      <c r="D215" t="s">
        <v>9</v>
      </c>
      <c r="E215" s="3">
        <v>3.49</v>
      </c>
      <c r="F215" s="19">
        <v>631</v>
      </c>
      <c r="G215" s="3">
        <v>0.88</v>
      </c>
      <c r="H215" s="5" t="e" vm="5">
        <v>#VALUE!</v>
      </c>
      <c r="I215" t="e" cm="1" vm="6">
        <f t="array" aca="1" ref="I215" ca="1">_FV(H215,"Country/region",TRUE)</f>
        <v>#VALUE!</v>
      </c>
      <c r="J215" t="s">
        <v>14</v>
      </c>
      <c r="K215" t="s">
        <v>23</v>
      </c>
      <c r="L215" t="s">
        <v>21</v>
      </c>
      <c r="M215">
        <f>Table1[[#This Row],[Price]]*Table1[[#This Row],[Quantity]]</f>
        <v>2202.19</v>
      </c>
    </row>
    <row r="216" spans="2:13" x14ac:dyDescent="0.25">
      <c r="B216" s="3">
        <v>10673</v>
      </c>
      <c r="C216" s="4">
        <v>44916</v>
      </c>
      <c r="D216" t="s">
        <v>12</v>
      </c>
      <c r="E216" s="3">
        <v>2.95</v>
      </c>
      <c r="F216" s="19">
        <v>746</v>
      </c>
      <c r="G216" s="3">
        <v>0.47</v>
      </c>
      <c r="H216" s="5" t="e" vm="5">
        <v>#VALUE!</v>
      </c>
      <c r="I216" t="e" cm="1" vm="6">
        <f t="array" aca="1" ref="I216" ca="1">_FV(H216,"Country/region",TRUE)</f>
        <v>#VALUE!</v>
      </c>
      <c r="J216" t="s">
        <v>14</v>
      </c>
      <c r="K216" t="s">
        <v>23</v>
      </c>
      <c r="L216" t="s">
        <v>21</v>
      </c>
      <c r="M216">
        <f>Table1[[#This Row],[Price]]*Table1[[#This Row],[Quantity]]</f>
        <v>2200.7000000000003</v>
      </c>
    </row>
    <row r="217" spans="2:13" x14ac:dyDescent="0.25">
      <c r="B217" s="3">
        <v>10674</v>
      </c>
      <c r="C217" s="4">
        <v>44916</v>
      </c>
      <c r="D217" t="s">
        <v>13</v>
      </c>
      <c r="E217" s="3">
        <v>4.99</v>
      </c>
      <c r="F217" s="19">
        <v>201</v>
      </c>
      <c r="G217" s="3">
        <v>2.25</v>
      </c>
      <c r="H217" s="5" t="e" vm="5">
        <v>#VALUE!</v>
      </c>
      <c r="I217" t="e" cm="1" vm="6">
        <f t="array" aca="1" ref="I217" ca="1">_FV(H217,"Country/region",TRUE)</f>
        <v>#VALUE!</v>
      </c>
      <c r="J217" t="s">
        <v>14</v>
      </c>
      <c r="K217" t="s">
        <v>23</v>
      </c>
      <c r="L217" t="s">
        <v>21</v>
      </c>
      <c r="M217">
        <f>Table1[[#This Row],[Price]]*Table1[[#This Row],[Quantity]]</f>
        <v>1002.99</v>
      </c>
    </row>
    <row r="218" spans="2:13" x14ac:dyDescent="0.25">
      <c r="B218" s="3">
        <v>10675</v>
      </c>
      <c r="C218" s="4">
        <v>44917</v>
      </c>
      <c r="D218" t="s">
        <v>15</v>
      </c>
      <c r="E218" s="3">
        <v>12.99</v>
      </c>
      <c r="F218" s="19">
        <v>678</v>
      </c>
      <c r="G218" s="3">
        <v>4.32</v>
      </c>
      <c r="H218" s="5" t="e" vm="5">
        <v>#VALUE!</v>
      </c>
      <c r="I218" t="e" cm="1" vm="6">
        <f t="array" aca="1" ref="I218" ca="1">_FV(H218,"Country/region",TRUE)</f>
        <v>#VALUE!</v>
      </c>
      <c r="J218" t="s">
        <v>14</v>
      </c>
      <c r="K218" t="s">
        <v>23</v>
      </c>
      <c r="L218" t="s">
        <v>21</v>
      </c>
      <c r="M218">
        <f>Table1[[#This Row],[Price]]*Table1[[#This Row],[Quantity]]</f>
        <v>8807.2199999999993</v>
      </c>
    </row>
    <row r="219" spans="2:13" x14ac:dyDescent="0.25">
      <c r="B219" s="3">
        <v>10676</v>
      </c>
      <c r="C219" s="4">
        <v>44917</v>
      </c>
      <c r="D219" t="s">
        <v>18</v>
      </c>
      <c r="E219" s="3">
        <v>9.9499999999999993</v>
      </c>
      <c r="F219" s="19">
        <v>242</v>
      </c>
      <c r="G219" s="3">
        <v>2.85</v>
      </c>
      <c r="H219" s="5" t="e" vm="5">
        <v>#VALUE!</v>
      </c>
      <c r="I219" t="e" cm="1" vm="6">
        <f t="array" aca="1" ref="I219" ca="1">_FV(H219,"Country/region",TRUE)</f>
        <v>#VALUE!</v>
      </c>
      <c r="J219" t="s">
        <v>14</v>
      </c>
      <c r="K219" t="s">
        <v>23</v>
      </c>
      <c r="L219" t="s">
        <v>21</v>
      </c>
      <c r="M219">
        <f>Table1[[#This Row],[Price]]*Table1[[#This Row],[Quantity]]</f>
        <v>2407.8999999999996</v>
      </c>
    </row>
    <row r="220" spans="2:13" x14ac:dyDescent="0.25">
      <c r="B220" s="3">
        <v>10677</v>
      </c>
      <c r="C220" s="4">
        <v>44917</v>
      </c>
      <c r="D220" t="s">
        <v>9</v>
      </c>
      <c r="E220" s="3">
        <v>3.49</v>
      </c>
      <c r="F220" s="19">
        <v>631</v>
      </c>
      <c r="G220" s="3">
        <v>0.88</v>
      </c>
      <c r="H220" s="5" t="e" vm="5">
        <v>#VALUE!</v>
      </c>
      <c r="I220" t="e" cm="1" vm="6">
        <f t="array" aca="1" ref="I220" ca="1">_FV(H220,"Country/region",TRUE)</f>
        <v>#VALUE!</v>
      </c>
      <c r="J220" t="s">
        <v>14</v>
      </c>
      <c r="K220" t="s">
        <v>23</v>
      </c>
      <c r="L220" t="s">
        <v>21</v>
      </c>
      <c r="M220">
        <f>Table1[[#This Row],[Price]]*Table1[[#This Row],[Quantity]]</f>
        <v>2202.19</v>
      </c>
    </row>
    <row r="221" spans="2:13" x14ac:dyDescent="0.25">
      <c r="B221" s="3">
        <v>10678</v>
      </c>
      <c r="C221" s="4">
        <v>44917</v>
      </c>
      <c r="D221" t="s">
        <v>12</v>
      </c>
      <c r="E221" s="3">
        <v>2.95</v>
      </c>
      <c r="F221" s="19">
        <v>746</v>
      </c>
      <c r="G221" s="3">
        <v>0.47</v>
      </c>
      <c r="H221" s="5" t="e" vm="5">
        <v>#VALUE!</v>
      </c>
      <c r="I221" t="e" cm="1" vm="6">
        <f t="array" aca="1" ref="I221" ca="1">_FV(H221,"Country/region",TRUE)</f>
        <v>#VALUE!</v>
      </c>
      <c r="J221" t="s">
        <v>14</v>
      </c>
      <c r="K221" t="s">
        <v>23</v>
      </c>
      <c r="L221" t="s">
        <v>21</v>
      </c>
      <c r="M221">
        <f>Table1[[#This Row],[Price]]*Table1[[#This Row],[Quantity]]</f>
        <v>2200.7000000000003</v>
      </c>
    </row>
    <row r="222" spans="2:13" x14ac:dyDescent="0.25">
      <c r="B222" s="3">
        <v>10679</v>
      </c>
      <c r="C222" s="4">
        <v>44917</v>
      </c>
      <c r="D222" t="s">
        <v>13</v>
      </c>
      <c r="E222" s="3">
        <v>4.99</v>
      </c>
      <c r="F222" s="19">
        <v>201</v>
      </c>
      <c r="G222" s="3">
        <v>2.25</v>
      </c>
      <c r="H222" s="5" t="e" vm="5">
        <v>#VALUE!</v>
      </c>
      <c r="I222" t="e" cm="1" vm="6">
        <f t="array" aca="1" ref="I222" ca="1">_FV(H222,"Country/region",TRUE)</f>
        <v>#VALUE!</v>
      </c>
      <c r="J222" t="s">
        <v>14</v>
      </c>
      <c r="K222" t="s">
        <v>23</v>
      </c>
      <c r="L222" t="s">
        <v>21</v>
      </c>
      <c r="M222">
        <f>Table1[[#This Row],[Price]]*Table1[[#This Row],[Quantity]]</f>
        <v>1002.99</v>
      </c>
    </row>
    <row r="223" spans="2:13" x14ac:dyDescent="0.25">
      <c r="B223" s="3">
        <v>10680</v>
      </c>
      <c r="C223" s="4">
        <v>44918</v>
      </c>
      <c r="D223" t="s">
        <v>15</v>
      </c>
      <c r="E223" s="3">
        <v>12.99</v>
      </c>
      <c r="F223" s="19">
        <v>647</v>
      </c>
      <c r="G223" s="3">
        <v>4.32</v>
      </c>
      <c r="H223" s="5" t="e" vm="5">
        <v>#VALUE!</v>
      </c>
      <c r="I223" t="e" cm="1" vm="6">
        <f t="array" aca="1" ref="I223" ca="1">_FV(H223,"Country/region",TRUE)</f>
        <v>#VALUE!</v>
      </c>
      <c r="J223" t="s">
        <v>14</v>
      </c>
      <c r="K223" t="s">
        <v>23</v>
      </c>
      <c r="L223" t="s">
        <v>21</v>
      </c>
      <c r="M223">
        <f>Table1[[#This Row],[Price]]*Table1[[#This Row],[Quantity]]</f>
        <v>8404.5300000000007</v>
      </c>
    </row>
    <row r="224" spans="2:13" x14ac:dyDescent="0.25">
      <c r="B224" s="3">
        <v>10681</v>
      </c>
      <c r="C224" s="4">
        <v>44918</v>
      </c>
      <c r="D224" t="s">
        <v>18</v>
      </c>
      <c r="E224" s="3">
        <v>9.9499999999999993</v>
      </c>
      <c r="F224" s="19">
        <v>242</v>
      </c>
      <c r="G224" s="3">
        <v>2.85</v>
      </c>
      <c r="H224" s="5" t="e" vm="5">
        <v>#VALUE!</v>
      </c>
      <c r="I224" t="e" cm="1" vm="6">
        <f t="array" aca="1" ref="I224" ca="1">_FV(H224,"Country/region",TRUE)</f>
        <v>#VALUE!</v>
      </c>
      <c r="J224" t="s">
        <v>14</v>
      </c>
      <c r="K224" t="s">
        <v>23</v>
      </c>
      <c r="L224" t="s">
        <v>21</v>
      </c>
      <c r="M224">
        <f>Table1[[#This Row],[Price]]*Table1[[#This Row],[Quantity]]</f>
        <v>2407.8999999999996</v>
      </c>
    </row>
    <row r="225" spans="2:13" x14ac:dyDescent="0.25">
      <c r="B225" s="3">
        <v>10682</v>
      </c>
      <c r="C225" s="4">
        <v>44918</v>
      </c>
      <c r="D225" t="s">
        <v>9</v>
      </c>
      <c r="E225" s="3">
        <v>3.49</v>
      </c>
      <c r="F225" s="19">
        <v>631</v>
      </c>
      <c r="G225" s="3">
        <v>0.88</v>
      </c>
      <c r="H225" s="5" t="e" vm="5">
        <v>#VALUE!</v>
      </c>
      <c r="I225" t="e" cm="1" vm="6">
        <f t="array" aca="1" ref="I225" ca="1">_FV(H225,"Country/region",TRUE)</f>
        <v>#VALUE!</v>
      </c>
      <c r="J225" t="s">
        <v>14</v>
      </c>
      <c r="K225" t="s">
        <v>23</v>
      </c>
      <c r="L225" t="s">
        <v>21</v>
      </c>
      <c r="M225">
        <f>Table1[[#This Row],[Price]]*Table1[[#This Row],[Quantity]]</f>
        <v>2202.19</v>
      </c>
    </row>
    <row r="226" spans="2:13" x14ac:dyDescent="0.25">
      <c r="B226" s="3">
        <v>10683</v>
      </c>
      <c r="C226" s="4">
        <v>44918</v>
      </c>
      <c r="D226" t="s">
        <v>12</v>
      </c>
      <c r="E226" s="3">
        <v>2.95</v>
      </c>
      <c r="F226" s="19">
        <v>678</v>
      </c>
      <c r="G226" s="3">
        <v>0.47</v>
      </c>
      <c r="H226" s="5" t="e" vm="5">
        <v>#VALUE!</v>
      </c>
      <c r="I226" t="e" cm="1" vm="6">
        <f t="array" aca="1" ref="I226" ca="1">_FV(H226,"Country/region",TRUE)</f>
        <v>#VALUE!</v>
      </c>
      <c r="J226" t="s">
        <v>14</v>
      </c>
      <c r="K226" t="s">
        <v>23</v>
      </c>
      <c r="L226" t="s">
        <v>21</v>
      </c>
      <c r="M226">
        <f>Table1[[#This Row],[Price]]*Table1[[#This Row],[Quantity]]</f>
        <v>2000.1000000000001</v>
      </c>
    </row>
    <row r="227" spans="2:13" x14ac:dyDescent="0.25">
      <c r="B227" s="3">
        <v>10684</v>
      </c>
      <c r="C227" s="4">
        <v>44918</v>
      </c>
      <c r="D227" t="s">
        <v>13</v>
      </c>
      <c r="E227" s="3">
        <v>4.99</v>
      </c>
      <c r="F227" s="19">
        <v>201</v>
      </c>
      <c r="G227" s="3">
        <v>2.25</v>
      </c>
      <c r="H227" s="5" t="e" vm="5">
        <v>#VALUE!</v>
      </c>
      <c r="I227" t="e" cm="1" vm="6">
        <f t="array" aca="1" ref="I227" ca="1">_FV(H227,"Country/region",TRUE)</f>
        <v>#VALUE!</v>
      </c>
      <c r="J227" t="s">
        <v>14</v>
      </c>
      <c r="K227" t="s">
        <v>23</v>
      </c>
      <c r="L227" t="s">
        <v>21</v>
      </c>
      <c r="M227">
        <f>Table1[[#This Row],[Price]]*Table1[[#This Row],[Quantity]]</f>
        <v>1002.99</v>
      </c>
    </row>
    <row r="228" spans="2:13" x14ac:dyDescent="0.25">
      <c r="B228" s="3">
        <v>10685</v>
      </c>
      <c r="C228" s="4">
        <v>44919</v>
      </c>
      <c r="D228" t="s">
        <v>15</v>
      </c>
      <c r="E228" s="3">
        <v>12.99</v>
      </c>
      <c r="F228" s="19">
        <v>678</v>
      </c>
      <c r="G228" s="3">
        <v>4.32</v>
      </c>
      <c r="H228" s="5" t="e" vm="5">
        <v>#VALUE!</v>
      </c>
      <c r="I228" t="e" cm="1" vm="6">
        <f t="array" aca="1" ref="I228" ca="1">_FV(H228,"Country/region",TRUE)</f>
        <v>#VALUE!</v>
      </c>
      <c r="J228" t="s">
        <v>14</v>
      </c>
      <c r="K228" t="s">
        <v>23</v>
      </c>
      <c r="L228" t="s">
        <v>21</v>
      </c>
      <c r="M228">
        <f>Table1[[#This Row],[Price]]*Table1[[#This Row],[Quantity]]</f>
        <v>8807.2199999999993</v>
      </c>
    </row>
    <row r="229" spans="2:13" x14ac:dyDescent="0.25">
      <c r="B229" s="3">
        <v>10686</v>
      </c>
      <c r="C229" s="4">
        <v>44919</v>
      </c>
      <c r="D229" t="s">
        <v>18</v>
      </c>
      <c r="E229" s="3">
        <v>9.9499999999999993</v>
      </c>
      <c r="F229" s="19">
        <v>242</v>
      </c>
      <c r="G229" s="3">
        <v>2.85</v>
      </c>
      <c r="H229" s="5" t="e" vm="5">
        <v>#VALUE!</v>
      </c>
      <c r="I229" t="e" cm="1" vm="6">
        <f t="array" aca="1" ref="I229" ca="1">_FV(H229,"Country/region",TRUE)</f>
        <v>#VALUE!</v>
      </c>
      <c r="J229" t="s">
        <v>14</v>
      </c>
      <c r="K229" t="s">
        <v>23</v>
      </c>
      <c r="L229" t="s">
        <v>21</v>
      </c>
      <c r="M229">
        <f>Table1[[#This Row],[Price]]*Table1[[#This Row],[Quantity]]</f>
        <v>2407.8999999999996</v>
      </c>
    </row>
    <row r="230" spans="2:13" x14ac:dyDescent="0.25">
      <c r="B230" s="3">
        <v>10687</v>
      </c>
      <c r="C230" s="4">
        <v>44919</v>
      </c>
      <c r="D230" t="s">
        <v>9</v>
      </c>
      <c r="E230" s="3">
        <v>3.49</v>
      </c>
      <c r="F230" s="19">
        <v>631</v>
      </c>
      <c r="G230" s="3">
        <v>0.88</v>
      </c>
      <c r="H230" t="e" vm="7">
        <v>#VALUE!</v>
      </c>
      <c r="I230" t="e" cm="1" vm="8">
        <f t="array" aca="1" ref="I230" ca="1">_FV(H230,"Country/region",TRUE)</f>
        <v>#VALUE!</v>
      </c>
      <c r="J230" t="s">
        <v>14</v>
      </c>
      <c r="K230" t="s">
        <v>23</v>
      </c>
      <c r="L230" t="s">
        <v>17</v>
      </c>
      <c r="M230">
        <f>Table1[[#This Row],[Price]]*Table1[[#This Row],[Quantity]]</f>
        <v>2202.19</v>
      </c>
    </row>
    <row r="231" spans="2:13" x14ac:dyDescent="0.25">
      <c r="B231" s="3">
        <v>10688</v>
      </c>
      <c r="C231" s="4">
        <v>44919</v>
      </c>
      <c r="D231" t="s">
        <v>12</v>
      </c>
      <c r="E231" s="3">
        <v>2.95</v>
      </c>
      <c r="F231" s="19">
        <v>678</v>
      </c>
      <c r="G231" s="3">
        <v>0.47</v>
      </c>
      <c r="H231" t="e" vm="7">
        <v>#VALUE!</v>
      </c>
      <c r="I231" t="e" cm="1" vm="8">
        <f t="array" aca="1" ref="I231" ca="1">_FV(H231,"Country/region",TRUE)</f>
        <v>#VALUE!</v>
      </c>
      <c r="J231" t="s">
        <v>14</v>
      </c>
      <c r="K231" t="s">
        <v>23</v>
      </c>
      <c r="L231" t="s">
        <v>17</v>
      </c>
      <c r="M231">
        <f>Table1[[#This Row],[Price]]*Table1[[#This Row],[Quantity]]</f>
        <v>2000.1000000000001</v>
      </c>
    </row>
    <row r="232" spans="2:13" x14ac:dyDescent="0.25">
      <c r="B232" s="3">
        <v>10689</v>
      </c>
      <c r="C232" s="4">
        <v>44919</v>
      </c>
      <c r="D232" t="s">
        <v>13</v>
      </c>
      <c r="E232" s="3">
        <v>4.99</v>
      </c>
      <c r="F232" s="19">
        <v>201</v>
      </c>
      <c r="G232" s="3">
        <v>2.25</v>
      </c>
      <c r="H232" t="e" vm="7">
        <v>#VALUE!</v>
      </c>
      <c r="I232" t="e" cm="1" vm="8">
        <f t="array" aca="1" ref="I232" ca="1">_FV(H232,"Country/region",TRUE)</f>
        <v>#VALUE!</v>
      </c>
      <c r="J232" t="s">
        <v>14</v>
      </c>
      <c r="K232" t="s">
        <v>23</v>
      </c>
      <c r="L232" t="s">
        <v>17</v>
      </c>
      <c r="M232">
        <f>Table1[[#This Row],[Price]]*Table1[[#This Row],[Quantity]]</f>
        <v>1002.99</v>
      </c>
    </row>
    <row r="233" spans="2:13" x14ac:dyDescent="0.25">
      <c r="B233" s="3">
        <v>10690</v>
      </c>
      <c r="C233" s="4">
        <v>44920</v>
      </c>
      <c r="D233" t="s">
        <v>15</v>
      </c>
      <c r="E233" s="3">
        <v>12.99</v>
      </c>
      <c r="F233" s="19">
        <v>678</v>
      </c>
      <c r="G233" s="3">
        <v>4.32</v>
      </c>
      <c r="H233" t="e" vm="7">
        <v>#VALUE!</v>
      </c>
      <c r="I233" t="e" cm="1" vm="8">
        <f t="array" aca="1" ref="I233" ca="1">_FV(H233,"Country/region",TRUE)</f>
        <v>#VALUE!</v>
      </c>
      <c r="J233" t="s">
        <v>14</v>
      </c>
      <c r="K233" t="s">
        <v>23</v>
      </c>
      <c r="L233" t="s">
        <v>17</v>
      </c>
      <c r="M233">
        <f>Table1[[#This Row],[Price]]*Table1[[#This Row],[Quantity]]</f>
        <v>8807.2199999999993</v>
      </c>
    </row>
    <row r="234" spans="2:13" x14ac:dyDescent="0.25">
      <c r="B234" s="3">
        <v>10691</v>
      </c>
      <c r="C234" s="4">
        <v>44920</v>
      </c>
      <c r="D234" t="s">
        <v>18</v>
      </c>
      <c r="E234" s="3">
        <v>9.9499999999999993</v>
      </c>
      <c r="F234" s="19">
        <v>262</v>
      </c>
      <c r="G234" s="3">
        <v>2.85</v>
      </c>
      <c r="H234" t="e" vm="7">
        <v>#VALUE!</v>
      </c>
      <c r="I234" t="e" cm="1" vm="8">
        <f t="array" aca="1" ref="I234" ca="1">_FV(H234,"Country/region",TRUE)</f>
        <v>#VALUE!</v>
      </c>
      <c r="J234" t="s">
        <v>14</v>
      </c>
      <c r="K234" t="s">
        <v>23</v>
      </c>
      <c r="L234" t="s">
        <v>17</v>
      </c>
      <c r="M234">
        <f>Table1[[#This Row],[Price]]*Table1[[#This Row],[Quantity]]</f>
        <v>2606.8999999999996</v>
      </c>
    </row>
    <row r="235" spans="2:13" x14ac:dyDescent="0.25">
      <c r="B235" s="3">
        <v>10692</v>
      </c>
      <c r="C235" s="4">
        <v>44920</v>
      </c>
      <c r="D235" t="s">
        <v>9</v>
      </c>
      <c r="E235" s="3">
        <v>3.49</v>
      </c>
      <c r="F235" s="19">
        <v>631</v>
      </c>
      <c r="G235" s="3">
        <v>0.88</v>
      </c>
      <c r="H235" t="e" vm="7">
        <v>#VALUE!</v>
      </c>
      <c r="I235" t="e" cm="1" vm="8">
        <f t="array" aca="1" ref="I235" ca="1">_FV(H235,"Country/region",TRUE)</f>
        <v>#VALUE!</v>
      </c>
      <c r="J235" t="s">
        <v>14</v>
      </c>
      <c r="K235" t="s">
        <v>23</v>
      </c>
      <c r="L235" t="s">
        <v>17</v>
      </c>
      <c r="M235">
        <f>Table1[[#This Row],[Price]]*Table1[[#This Row],[Quantity]]</f>
        <v>2202.19</v>
      </c>
    </row>
    <row r="236" spans="2:13" x14ac:dyDescent="0.25">
      <c r="B236" s="3">
        <v>10693</v>
      </c>
      <c r="C236" s="4">
        <v>44920</v>
      </c>
      <c r="D236" t="s">
        <v>12</v>
      </c>
      <c r="E236" s="3">
        <v>2.95</v>
      </c>
      <c r="F236" s="19">
        <v>678</v>
      </c>
      <c r="G236" s="3">
        <v>0.47</v>
      </c>
      <c r="H236" t="e" vm="7">
        <v>#VALUE!</v>
      </c>
      <c r="I236" t="e" cm="1" vm="8">
        <f t="array" aca="1" ref="I236" ca="1">_FV(H236,"Country/region",TRUE)</f>
        <v>#VALUE!</v>
      </c>
      <c r="J236" t="s">
        <v>14</v>
      </c>
      <c r="K236" t="s">
        <v>23</v>
      </c>
      <c r="L236" t="s">
        <v>17</v>
      </c>
      <c r="M236">
        <f>Table1[[#This Row],[Price]]*Table1[[#This Row],[Quantity]]</f>
        <v>2000.1000000000001</v>
      </c>
    </row>
    <row r="237" spans="2:13" x14ac:dyDescent="0.25">
      <c r="B237" s="3">
        <v>10694</v>
      </c>
      <c r="C237" s="4">
        <v>44920</v>
      </c>
      <c r="D237" t="s">
        <v>13</v>
      </c>
      <c r="E237" s="3">
        <v>4.99</v>
      </c>
      <c r="F237" s="19">
        <v>201</v>
      </c>
      <c r="G237" s="3">
        <v>2.25</v>
      </c>
      <c r="H237" t="e" vm="7">
        <v>#VALUE!</v>
      </c>
      <c r="I237" t="e" cm="1" vm="8">
        <f t="array" aca="1" ref="I237" ca="1">_FV(H237,"Country/region",TRUE)</f>
        <v>#VALUE!</v>
      </c>
      <c r="J237" t="s">
        <v>14</v>
      </c>
      <c r="K237" t="s">
        <v>23</v>
      </c>
      <c r="L237" t="s">
        <v>17</v>
      </c>
      <c r="M237">
        <f>Table1[[#This Row],[Price]]*Table1[[#This Row],[Quantity]]</f>
        <v>1002.99</v>
      </c>
    </row>
    <row r="238" spans="2:13" x14ac:dyDescent="0.25">
      <c r="B238" s="3">
        <v>10695</v>
      </c>
      <c r="C238" s="4">
        <v>44921</v>
      </c>
      <c r="D238" t="s">
        <v>15</v>
      </c>
      <c r="E238" s="3">
        <v>12.99</v>
      </c>
      <c r="F238" s="19">
        <v>693</v>
      </c>
      <c r="G238" s="3">
        <v>4.32</v>
      </c>
      <c r="H238" t="e" vm="7">
        <v>#VALUE!</v>
      </c>
      <c r="I238" t="e" cm="1" vm="8">
        <f t="array" aca="1" ref="I238" ca="1">_FV(H238,"Country/region",TRUE)</f>
        <v>#VALUE!</v>
      </c>
      <c r="J238" t="s">
        <v>14</v>
      </c>
      <c r="K238" t="s">
        <v>23</v>
      </c>
      <c r="L238" t="s">
        <v>17</v>
      </c>
      <c r="M238">
        <f>Table1[[#This Row],[Price]]*Table1[[#This Row],[Quantity]]</f>
        <v>9002.07</v>
      </c>
    </row>
    <row r="239" spans="2:13" x14ac:dyDescent="0.25">
      <c r="B239" s="3">
        <v>10696</v>
      </c>
      <c r="C239" s="4">
        <v>44921</v>
      </c>
      <c r="D239" t="s">
        <v>18</v>
      </c>
      <c r="E239" s="3">
        <v>9.9499999999999993</v>
      </c>
      <c r="F239" s="19">
        <v>282</v>
      </c>
      <c r="G239" s="3">
        <v>2.85</v>
      </c>
      <c r="H239" t="e" vm="7">
        <v>#VALUE!</v>
      </c>
      <c r="I239" t="e" cm="1" vm="8">
        <f t="array" aca="1" ref="I239" ca="1">_FV(H239,"Country/region",TRUE)</f>
        <v>#VALUE!</v>
      </c>
      <c r="J239" t="s">
        <v>14</v>
      </c>
      <c r="K239" t="s">
        <v>23</v>
      </c>
      <c r="L239" t="s">
        <v>17</v>
      </c>
      <c r="M239">
        <f>Table1[[#This Row],[Price]]*Table1[[#This Row],[Quantity]]</f>
        <v>2805.8999999999996</v>
      </c>
    </row>
    <row r="240" spans="2:13" x14ac:dyDescent="0.25">
      <c r="B240" s="3">
        <v>10697</v>
      </c>
      <c r="C240" s="4">
        <v>44921</v>
      </c>
      <c r="D240" t="s">
        <v>9</v>
      </c>
      <c r="E240" s="3">
        <v>3.49</v>
      </c>
      <c r="F240" s="19">
        <v>631</v>
      </c>
      <c r="G240" s="3">
        <v>0.88</v>
      </c>
      <c r="H240" t="e" vm="7">
        <v>#VALUE!</v>
      </c>
      <c r="I240" t="e" cm="1" vm="8">
        <f t="array" aca="1" ref="I240" ca="1">_FV(H240,"Country/region",TRUE)</f>
        <v>#VALUE!</v>
      </c>
      <c r="J240" t="s">
        <v>14</v>
      </c>
      <c r="K240" t="s">
        <v>23</v>
      </c>
      <c r="L240" t="s">
        <v>17</v>
      </c>
      <c r="M240">
        <f>Table1[[#This Row],[Price]]*Table1[[#This Row],[Quantity]]</f>
        <v>2202.19</v>
      </c>
    </row>
    <row r="241" spans="2:13" x14ac:dyDescent="0.25">
      <c r="B241" s="3">
        <v>10698</v>
      </c>
      <c r="C241" s="4">
        <v>44921</v>
      </c>
      <c r="D241" t="s">
        <v>12</v>
      </c>
      <c r="E241" s="3">
        <v>2.95</v>
      </c>
      <c r="F241" s="19">
        <v>678</v>
      </c>
      <c r="G241" s="3">
        <v>0.47</v>
      </c>
      <c r="H241" t="e" vm="7">
        <v>#VALUE!</v>
      </c>
      <c r="I241" t="e" cm="1" vm="8">
        <f t="array" aca="1" ref="I241" ca="1">_FV(H241,"Country/region",TRUE)</f>
        <v>#VALUE!</v>
      </c>
      <c r="J241" t="s">
        <v>14</v>
      </c>
      <c r="K241" t="s">
        <v>23</v>
      </c>
      <c r="L241" t="s">
        <v>17</v>
      </c>
      <c r="M241">
        <f>Table1[[#This Row],[Price]]*Table1[[#This Row],[Quantity]]</f>
        <v>2000.1000000000001</v>
      </c>
    </row>
    <row r="242" spans="2:13" x14ac:dyDescent="0.25">
      <c r="B242" s="3">
        <v>10699</v>
      </c>
      <c r="C242" s="4">
        <v>44921</v>
      </c>
      <c r="D242" t="s">
        <v>13</v>
      </c>
      <c r="E242" s="3">
        <v>4.99</v>
      </c>
      <c r="F242" s="19">
        <v>201</v>
      </c>
      <c r="G242" s="3">
        <v>2.25</v>
      </c>
      <c r="H242" t="e" vm="7">
        <v>#VALUE!</v>
      </c>
      <c r="I242" t="e" cm="1" vm="8">
        <f t="array" aca="1" ref="I242" ca="1">_FV(H242,"Country/region",TRUE)</f>
        <v>#VALUE!</v>
      </c>
      <c r="J242" t="s">
        <v>14</v>
      </c>
      <c r="K242" t="s">
        <v>23</v>
      </c>
      <c r="L242" t="s">
        <v>17</v>
      </c>
      <c r="M242">
        <f>Table1[[#This Row],[Price]]*Table1[[#This Row],[Quantity]]</f>
        <v>1002.99</v>
      </c>
    </row>
    <row r="243" spans="2:13" x14ac:dyDescent="0.25">
      <c r="B243" s="3">
        <v>10700</v>
      </c>
      <c r="C243" s="4">
        <v>44922</v>
      </c>
      <c r="D243" t="s">
        <v>15</v>
      </c>
      <c r="E243" s="3">
        <v>12.99</v>
      </c>
      <c r="F243" s="19">
        <v>693</v>
      </c>
      <c r="G243" s="3">
        <v>4.32</v>
      </c>
      <c r="H243" t="e" vm="7">
        <v>#VALUE!</v>
      </c>
      <c r="I243" t="e" cm="1" vm="8">
        <f t="array" aca="1" ref="I243" ca="1">_FV(H243,"Country/region",TRUE)</f>
        <v>#VALUE!</v>
      </c>
      <c r="J243" t="s">
        <v>14</v>
      </c>
      <c r="K243" t="s">
        <v>23</v>
      </c>
      <c r="L243" t="s">
        <v>17</v>
      </c>
      <c r="M243">
        <f>Table1[[#This Row],[Price]]*Table1[[#This Row],[Quantity]]</f>
        <v>9002.07</v>
      </c>
    </row>
    <row r="244" spans="2:13" x14ac:dyDescent="0.25">
      <c r="B244" s="3">
        <v>10701</v>
      </c>
      <c r="C244" s="4">
        <v>44922</v>
      </c>
      <c r="D244" t="s">
        <v>18</v>
      </c>
      <c r="E244" s="3">
        <v>9.9499999999999993</v>
      </c>
      <c r="F244" s="19">
        <v>282</v>
      </c>
      <c r="G244" s="3">
        <v>2.85</v>
      </c>
      <c r="H244" t="e" vm="7">
        <v>#VALUE!</v>
      </c>
      <c r="I244" t="e" cm="1" vm="8">
        <f t="array" aca="1" ref="I244" ca="1">_FV(H244,"Country/region",TRUE)</f>
        <v>#VALUE!</v>
      </c>
      <c r="J244" t="s">
        <v>14</v>
      </c>
      <c r="K244" t="s">
        <v>23</v>
      </c>
      <c r="L244" t="s">
        <v>17</v>
      </c>
      <c r="M244">
        <f>Table1[[#This Row],[Price]]*Table1[[#This Row],[Quantity]]</f>
        <v>2805.8999999999996</v>
      </c>
    </row>
    <row r="245" spans="2:13" x14ac:dyDescent="0.25">
      <c r="B245" s="3">
        <v>10702</v>
      </c>
      <c r="C245" s="4">
        <v>44922</v>
      </c>
      <c r="D245" t="s">
        <v>9</v>
      </c>
      <c r="E245" s="3">
        <v>3.49</v>
      </c>
      <c r="F245" s="19">
        <v>631</v>
      </c>
      <c r="G245" s="3">
        <v>0.88</v>
      </c>
      <c r="H245" t="e" vm="7">
        <v>#VALUE!</v>
      </c>
      <c r="I245" t="e" cm="1" vm="8">
        <f t="array" aca="1" ref="I245" ca="1">_FV(H245,"Country/region",TRUE)</f>
        <v>#VALUE!</v>
      </c>
      <c r="J245" t="s">
        <v>14</v>
      </c>
      <c r="K245" t="s">
        <v>23</v>
      </c>
      <c r="L245" t="s">
        <v>17</v>
      </c>
      <c r="M245">
        <f>Table1[[#This Row],[Price]]*Table1[[#This Row],[Quantity]]</f>
        <v>2202.19</v>
      </c>
    </row>
    <row r="246" spans="2:13" x14ac:dyDescent="0.25">
      <c r="B246" s="3">
        <v>10703</v>
      </c>
      <c r="C246" s="4">
        <v>44922</v>
      </c>
      <c r="D246" t="s">
        <v>12</v>
      </c>
      <c r="E246" s="3">
        <v>2.95</v>
      </c>
      <c r="F246" s="19">
        <v>678</v>
      </c>
      <c r="G246" s="3">
        <v>0.47</v>
      </c>
      <c r="H246" t="e" vm="7">
        <v>#VALUE!</v>
      </c>
      <c r="I246" t="e" cm="1" vm="8">
        <f t="array" aca="1" ref="I246" ca="1">_FV(H246,"Country/region",TRUE)</f>
        <v>#VALUE!</v>
      </c>
      <c r="J246" t="s">
        <v>14</v>
      </c>
      <c r="K246" t="s">
        <v>11</v>
      </c>
      <c r="L246" t="s">
        <v>17</v>
      </c>
      <c r="M246">
        <f>Table1[[#This Row],[Price]]*Table1[[#This Row],[Quantity]]</f>
        <v>2000.1000000000001</v>
      </c>
    </row>
    <row r="247" spans="2:13" x14ac:dyDescent="0.25">
      <c r="B247" s="3">
        <v>10704</v>
      </c>
      <c r="C247" s="4">
        <v>44922</v>
      </c>
      <c r="D247" t="s">
        <v>13</v>
      </c>
      <c r="E247" s="3">
        <v>4.99</v>
      </c>
      <c r="F247" s="19">
        <v>201</v>
      </c>
      <c r="G247" s="3">
        <v>2.25</v>
      </c>
      <c r="H247" t="e" vm="7">
        <v>#VALUE!</v>
      </c>
      <c r="I247" t="e" cm="1" vm="8">
        <f t="array" aca="1" ref="I247" ca="1">_FV(H247,"Country/region",TRUE)</f>
        <v>#VALUE!</v>
      </c>
      <c r="J247" t="s">
        <v>22</v>
      </c>
      <c r="K247" t="s">
        <v>11</v>
      </c>
      <c r="L247" t="s">
        <v>17</v>
      </c>
      <c r="M247">
        <f>Table1[[#This Row],[Price]]*Table1[[#This Row],[Quantity]]</f>
        <v>1002.99</v>
      </c>
    </row>
    <row r="248" spans="2:13" x14ac:dyDescent="0.25">
      <c r="B248" s="3">
        <v>10705</v>
      </c>
      <c r="C248" s="4">
        <v>44923</v>
      </c>
      <c r="D248" t="s">
        <v>15</v>
      </c>
      <c r="E248" s="3">
        <v>12.99</v>
      </c>
      <c r="F248" s="19">
        <v>724</v>
      </c>
      <c r="G248" s="3">
        <v>4.32</v>
      </c>
      <c r="H248" t="e" vm="7">
        <v>#VALUE!</v>
      </c>
      <c r="I248" t="e" cm="1" vm="8">
        <f t="array" aca="1" ref="I248" ca="1">_FV(H248,"Country/region",TRUE)</f>
        <v>#VALUE!</v>
      </c>
      <c r="J248" t="s">
        <v>22</v>
      </c>
      <c r="K248" t="s">
        <v>11</v>
      </c>
      <c r="L248" t="s">
        <v>17</v>
      </c>
      <c r="M248">
        <f>Table1[[#This Row],[Price]]*Table1[[#This Row],[Quantity]]</f>
        <v>9404.76</v>
      </c>
    </row>
    <row r="249" spans="2:13" x14ac:dyDescent="0.25">
      <c r="B249" s="3">
        <v>10706</v>
      </c>
      <c r="C249" s="4">
        <v>44923</v>
      </c>
      <c r="D249" t="s">
        <v>18</v>
      </c>
      <c r="E249" s="3">
        <v>9.9499999999999993</v>
      </c>
      <c r="F249" s="19">
        <v>302</v>
      </c>
      <c r="G249" s="3">
        <v>2.85</v>
      </c>
      <c r="H249" t="e" vm="7">
        <v>#VALUE!</v>
      </c>
      <c r="I249" t="e" cm="1" vm="8">
        <f t="array" aca="1" ref="I249" ca="1">_FV(H249,"Country/region",TRUE)</f>
        <v>#VALUE!</v>
      </c>
      <c r="J249" t="s">
        <v>22</v>
      </c>
      <c r="K249" t="s">
        <v>11</v>
      </c>
      <c r="L249" t="s">
        <v>17</v>
      </c>
      <c r="M249">
        <f>Table1[[#This Row],[Price]]*Table1[[#This Row],[Quantity]]</f>
        <v>3004.8999999999996</v>
      </c>
    </row>
    <row r="250" spans="2:13" x14ac:dyDescent="0.25">
      <c r="B250" s="3">
        <v>10707</v>
      </c>
      <c r="C250" s="4">
        <v>44923</v>
      </c>
      <c r="D250" t="s">
        <v>9</v>
      </c>
      <c r="E250" s="3">
        <v>3.49</v>
      </c>
      <c r="F250" s="19">
        <v>631</v>
      </c>
      <c r="G250" s="3">
        <v>0.88</v>
      </c>
      <c r="H250" t="e" vm="7">
        <v>#VALUE!</v>
      </c>
      <c r="I250" t="e" cm="1" vm="8">
        <f t="array" aca="1" ref="I250" ca="1">_FV(H250,"Country/region",TRUE)</f>
        <v>#VALUE!</v>
      </c>
      <c r="J250" t="s">
        <v>22</v>
      </c>
      <c r="K250" t="s">
        <v>11</v>
      </c>
      <c r="L250" t="s">
        <v>17</v>
      </c>
      <c r="M250">
        <f>Table1[[#This Row],[Price]]*Table1[[#This Row],[Quantity]]</f>
        <v>2202.19</v>
      </c>
    </row>
    <row r="251" spans="2:13" x14ac:dyDescent="0.25">
      <c r="B251" s="3">
        <v>10708</v>
      </c>
      <c r="C251" s="4">
        <v>44923</v>
      </c>
      <c r="D251" t="s">
        <v>12</v>
      </c>
      <c r="E251" s="3">
        <v>2.95</v>
      </c>
      <c r="F251" s="19">
        <v>678</v>
      </c>
      <c r="G251" s="3">
        <v>0.47</v>
      </c>
      <c r="H251" t="e" vm="7">
        <v>#VALUE!</v>
      </c>
      <c r="I251" t="e" cm="1" vm="8">
        <f t="array" aca="1" ref="I251" ca="1">_FV(H251,"Country/region",TRUE)</f>
        <v>#VALUE!</v>
      </c>
      <c r="J251" t="s">
        <v>22</v>
      </c>
      <c r="K251" t="s">
        <v>11</v>
      </c>
      <c r="L251" t="s">
        <v>17</v>
      </c>
      <c r="M251">
        <f>Table1[[#This Row],[Price]]*Table1[[#This Row],[Quantity]]</f>
        <v>2000.1000000000001</v>
      </c>
    </row>
    <row r="252" spans="2:13" x14ac:dyDescent="0.25">
      <c r="B252" s="3">
        <v>10709</v>
      </c>
      <c r="C252" s="4">
        <v>44923</v>
      </c>
      <c r="D252" t="s">
        <v>13</v>
      </c>
      <c r="E252" s="3">
        <v>4.99</v>
      </c>
      <c r="F252" s="19">
        <v>201</v>
      </c>
      <c r="G252" s="3">
        <v>2.25</v>
      </c>
      <c r="H252" t="e" vm="7">
        <v>#VALUE!</v>
      </c>
      <c r="I252" t="e" cm="1" vm="8">
        <f t="array" aca="1" ref="I252" ca="1">_FV(H252,"Country/region",TRUE)</f>
        <v>#VALUE!</v>
      </c>
      <c r="J252" t="s">
        <v>22</v>
      </c>
      <c r="K252" t="s">
        <v>11</v>
      </c>
      <c r="L252" t="s">
        <v>17</v>
      </c>
      <c r="M252">
        <f>Table1[[#This Row],[Price]]*Table1[[#This Row],[Quantity]]</f>
        <v>1002.99</v>
      </c>
    </row>
    <row r="253" spans="2:13" x14ac:dyDescent="0.25">
      <c r="B253" s="3">
        <v>10710</v>
      </c>
      <c r="C253" s="4">
        <v>44924</v>
      </c>
      <c r="D253" t="s">
        <v>15</v>
      </c>
      <c r="E253" s="3">
        <v>12.99</v>
      </c>
      <c r="F253" s="19">
        <v>755</v>
      </c>
      <c r="G253" s="3">
        <v>4.32</v>
      </c>
      <c r="H253" t="e" vm="7">
        <v>#VALUE!</v>
      </c>
      <c r="I253" t="e" cm="1" vm="8">
        <f t="array" aca="1" ref="I253" ca="1">_FV(H253,"Country/region",TRUE)</f>
        <v>#VALUE!</v>
      </c>
      <c r="J253" t="s">
        <v>22</v>
      </c>
      <c r="K253" t="s">
        <v>11</v>
      </c>
      <c r="L253" t="s">
        <v>17</v>
      </c>
      <c r="M253">
        <f>Table1[[#This Row],[Price]]*Table1[[#This Row],[Quantity]]</f>
        <v>9807.4500000000007</v>
      </c>
    </row>
    <row r="254" spans="2:13" x14ac:dyDescent="0.25">
      <c r="B254" s="3">
        <v>10711</v>
      </c>
      <c r="C254" s="4">
        <v>44924</v>
      </c>
      <c r="D254" t="s">
        <v>18</v>
      </c>
      <c r="E254" s="3">
        <v>9.9499999999999993</v>
      </c>
      <c r="F254" s="19">
        <v>282</v>
      </c>
      <c r="G254" s="3">
        <v>2.85</v>
      </c>
      <c r="H254" t="e" vm="7">
        <v>#VALUE!</v>
      </c>
      <c r="I254" t="e" cm="1" vm="8">
        <f t="array" aca="1" ref="I254" ca="1">_FV(H254,"Country/region",TRUE)</f>
        <v>#VALUE!</v>
      </c>
      <c r="J254" t="s">
        <v>22</v>
      </c>
      <c r="K254" t="s">
        <v>11</v>
      </c>
      <c r="L254" t="s">
        <v>17</v>
      </c>
      <c r="M254">
        <f>Table1[[#This Row],[Price]]*Table1[[#This Row],[Quantity]]</f>
        <v>2805.8999999999996</v>
      </c>
    </row>
    <row r="255" spans="2:13" x14ac:dyDescent="0.25">
      <c r="B255" s="3">
        <v>10712</v>
      </c>
      <c r="C255" s="4">
        <v>44924</v>
      </c>
      <c r="D255" t="s">
        <v>9</v>
      </c>
      <c r="E255" s="3">
        <v>3.49</v>
      </c>
      <c r="F255" s="19">
        <v>631</v>
      </c>
      <c r="G255" s="3">
        <v>0.88</v>
      </c>
      <c r="H255" t="e" vm="7">
        <v>#VALUE!</v>
      </c>
      <c r="I255" t="e" cm="1" vm="8">
        <f t="array" aca="1" ref="I255" ca="1">_FV(H255,"Country/region",TRUE)</f>
        <v>#VALUE!</v>
      </c>
      <c r="J255" t="s">
        <v>22</v>
      </c>
      <c r="K255" t="s">
        <v>11</v>
      </c>
      <c r="L255" t="s">
        <v>17</v>
      </c>
      <c r="M255">
        <f>Table1[[#This Row],[Price]]*Table1[[#This Row],[Quantity]]</f>
        <v>2202.19</v>
      </c>
    </row>
    <row r="256" spans="2:13" x14ac:dyDescent="0.25">
      <c r="B256" s="3">
        <v>10713</v>
      </c>
      <c r="C256" s="4">
        <v>44924</v>
      </c>
      <c r="D256" t="s">
        <v>12</v>
      </c>
      <c r="E256" s="3">
        <v>2.95</v>
      </c>
      <c r="F256" s="19">
        <v>678</v>
      </c>
      <c r="G256" s="3">
        <v>0.47</v>
      </c>
      <c r="H256" t="e" vm="7">
        <v>#VALUE!</v>
      </c>
      <c r="I256" t="e" cm="1" vm="8">
        <f t="array" aca="1" ref="I256" ca="1">_FV(H256,"Country/region",TRUE)</f>
        <v>#VALUE!</v>
      </c>
      <c r="J256" t="s">
        <v>22</v>
      </c>
      <c r="K256" t="s">
        <v>11</v>
      </c>
      <c r="L256" t="s">
        <v>17</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19D0-3415-4F46-BA40-496F324A3552}">
  <dimension ref="A1:K265"/>
  <sheetViews>
    <sheetView zoomScale="115" zoomScaleNormal="115" workbookViewId="0">
      <selection activeCell="C10" sqref="C10"/>
    </sheetView>
  </sheetViews>
  <sheetFormatPr defaultRowHeight="15.75" x14ac:dyDescent="0.25"/>
  <cols>
    <col min="1" max="1" width="10.125" bestFit="1" customWidth="1"/>
    <col min="2" max="2" width="16.25" bestFit="1" customWidth="1"/>
    <col min="3" max="3" width="17.5" bestFit="1" customWidth="1"/>
    <col min="4" max="4" width="9.125" bestFit="1" customWidth="1"/>
    <col min="5" max="5" width="15.375" bestFit="1" customWidth="1"/>
    <col min="6" max="6" width="18" bestFit="1" customWidth="1"/>
    <col min="7" max="7" width="12.125" bestFit="1" customWidth="1"/>
    <col min="8" max="8" width="10.5" bestFit="1" customWidth="1"/>
    <col min="9" max="9" width="9.125" bestFit="1" customWidth="1"/>
    <col min="10" max="10" width="16.25" bestFit="1" customWidth="1"/>
    <col min="11" max="11" width="10.25" bestFit="1" customWidth="1"/>
  </cols>
  <sheetData>
    <row r="1" spans="1:11" x14ac:dyDescent="0.25">
      <c r="A1" s="10" t="s">
        <v>70</v>
      </c>
    </row>
    <row r="3" spans="1:11" x14ac:dyDescent="0.25">
      <c r="A3" t="s">
        <v>0</v>
      </c>
      <c r="B3" t="s">
        <v>1</v>
      </c>
      <c r="C3" t="s">
        <v>2</v>
      </c>
      <c r="D3" t="s">
        <v>3</v>
      </c>
      <c r="E3" t="s">
        <v>5</v>
      </c>
      <c r="F3" t="s">
        <v>6</v>
      </c>
      <c r="G3" t="s">
        <v>7</v>
      </c>
      <c r="H3" t="s">
        <v>4</v>
      </c>
      <c r="I3" t="s">
        <v>8</v>
      </c>
      <c r="J3" t="s">
        <v>45</v>
      </c>
      <c r="K3" t="s">
        <v>32</v>
      </c>
    </row>
    <row r="4" spans="1:11" x14ac:dyDescent="0.25">
      <c r="A4">
        <v>10452</v>
      </c>
      <c r="B4" s="63">
        <v>44872</v>
      </c>
      <c r="C4" t="s">
        <v>9</v>
      </c>
      <c r="D4">
        <v>3.49</v>
      </c>
      <c r="E4" t="s">
        <v>10</v>
      </c>
      <c r="F4" t="s">
        <v>11</v>
      </c>
      <c r="G4" t="s">
        <v>24</v>
      </c>
      <c r="H4">
        <v>574</v>
      </c>
      <c r="I4" t="e" vm="1">
        <v>#VALUE!</v>
      </c>
      <c r="J4" t="e" vm="11">
        <v>#VALUE!</v>
      </c>
      <c r="K4">
        <v>2003.2600000000002</v>
      </c>
    </row>
    <row r="5" spans="1:11" x14ac:dyDescent="0.25">
      <c r="A5">
        <v>10453</v>
      </c>
      <c r="B5" s="63">
        <v>44872</v>
      </c>
      <c r="C5" t="s">
        <v>12</v>
      </c>
      <c r="D5">
        <v>2.95</v>
      </c>
      <c r="E5" t="s">
        <v>10</v>
      </c>
      <c r="F5" t="s">
        <v>11</v>
      </c>
      <c r="G5" t="s">
        <v>20</v>
      </c>
      <c r="H5">
        <v>746</v>
      </c>
      <c r="I5" t="e" vm="3">
        <v>#VALUE!</v>
      </c>
      <c r="J5" t="e" vm="4">
        <v>#VALUE!</v>
      </c>
      <c r="K5">
        <v>2200.7000000000003</v>
      </c>
    </row>
    <row r="6" spans="1:11" x14ac:dyDescent="0.25">
      <c r="A6">
        <v>10454</v>
      </c>
      <c r="B6" s="63">
        <v>44872</v>
      </c>
      <c r="C6" t="s">
        <v>13</v>
      </c>
      <c r="D6">
        <v>4.99</v>
      </c>
      <c r="E6" t="s">
        <v>14</v>
      </c>
      <c r="F6" t="s">
        <v>11</v>
      </c>
      <c r="G6" t="s">
        <v>21</v>
      </c>
      <c r="H6">
        <v>201</v>
      </c>
      <c r="I6" t="e" vm="5">
        <v>#VALUE!</v>
      </c>
      <c r="J6" t="e" vm="6">
        <v>#VALUE!</v>
      </c>
      <c r="K6">
        <v>1002.99</v>
      </c>
    </row>
    <row r="7" spans="1:11" x14ac:dyDescent="0.25">
      <c r="A7">
        <v>10455</v>
      </c>
      <c r="B7" s="63">
        <v>44873</v>
      </c>
      <c r="C7" t="s">
        <v>15</v>
      </c>
      <c r="D7">
        <v>12.99</v>
      </c>
      <c r="E7" t="s">
        <v>14</v>
      </c>
      <c r="F7" t="s">
        <v>16</v>
      </c>
      <c r="G7" t="s">
        <v>17</v>
      </c>
      <c r="H7">
        <v>570</v>
      </c>
      <c r="I7" t="e" vm="7">
        <v>#VALUE!</v>
      </c>
      <c r="J7" t="e" vm="8">
        <v>#VALUE!</v>
      </c>
      <c r="K7">
        <v>7404.3</v>
      </c>
    </row>
    <row r="8" spans="1:11" x14ac:dyDescent="0.25">
      <c r="A8">
        <v>10456</v>
      </c>
      <c r="B8" s="63">
        <v>44873</v>
      </c>
      <c r="C8" t="s">
        <v>18</v>
      </c>
      <c r="D8">
        <v>9.9499999999999993</v>
      </c>
      <c r="E8" t="s">
        <v>14</v>
      </c>
      <c r="F8" t="s">
        <v>16</v>
      </c>
      <c r="G8" t="s">
        <v>17</v>
      </c>
      <c r="H8">
        <v>202</v>
      </c>
      <c r="I8" t="e" vm="7">
        <v>#VALUE!</v>
      </c>
      <c r="J8" t="e" vm="8">
        <v>#VALUE!</v>
      </c>
      <c r="K8">
        <v>2009.8999999999999</v>
      </c>
    </row>
    <row r="9" spans="1:11" x14ac:dyDescent="0.25">
      <c r="A9">
        <v>10457</v>
      </c>
      <c r="B9" s="63">
        <v>44873</v>
      </c>
      <c r="C9" t="s">
        <v>9</v>
      </c>
      <c r="D9">
        <v>3.49</v>
      </c>
      <c r="E9" t="s">
        <v>14</v>
      </c>
      <c r="F9" t="s">
        <v>16</v>
      </c>
      <c r="G9" t="s">
        <v>19</v>
      </c>
      <c r="H9">
        <v>574</v>
      </c>
      <c r="I9" t="e" vm="9">
        <v>#VALUE!</v>
      </c>
      <c r="J9" t="e" vm="10">
        <v>#VALUE!</v>
      </c>
      <c r="K9">
        <v>2003.2600000000002</v>
      </c>
    </row>
    <row r="10" spans="1:11" x14ac:dyDescent="0.25">
      <c r="A10">
        <v>10457</v>
      </c>
      <c r="B10" s="63">
        <v>44873</v>
      </c>
      <c r="C10" t="s">
        <v>9</v>
      </c>
      <c r="D10">
        <v>3.49</v>
      </c>
      <c r="E10" t="s">
        <v>14</v>
      </c>
      <c r="F10" t="s">
        <v>16</v>
      </c>
      <c r="G10" t="s">
        <v>19</v>
      </c>
      <c r="H10">
        <v>574</v>
      </c>
      <c r="I10" t="e" vm="9">
        <v>#VALUE!</v>
      </c>
      <c r="J10" t="e" vm="10">
        <v>#VALUE!</v>
      </c>
      <c r="K10">
        <v>2003.2600000000002</v>
      </c>
    </row>
    <row r="11" spans="1:11" x14ac:dyDescent="0.25">
      <c r="A11">
        <v>10459</v>
      </c>
      <c r="B11" s="63">
        <v>44873</v>
      </c>
      <c r="C11" t="s">
        <v>13</v>
      </c>
      <c r="D11">
        <v>4.99</v>
      </c>
      <c r="E11" t="s">
        <v>14</v>
      </c>
      <c r="F11" t="s">
        <v>16</v>
      </c>
      <c r="G11" t="s">
        <v>17</v>
      </c>
      <c r="H11">
        <v>201</v>
      </c>
      <c r="I11" t="e" vm="7">
        <v>#VALUE!</v>
      </c>
      <c r="J11" t="e" vm="8">
        <v>#VALUE!</v>
      </c>
      <c r="K11">
        <v>1002.99</v>
      </c>
    </row>
    <row r="12" spans="1:11" x14ac:dyDescent="0.25">
      <c r="A12">
        <v>10460</v>
      </c>
      <c r="B12" s="63">
        <v>44874</v>
      </c>
      <c r="C12" t="s">
        <v>15</v>
      </c>
      <c r="D12">
        <v>12.99</v>
      </c>
      <c r="E12" t="s">
        <v>14</v>
      </c>
      <c r="F12" t="s">
        <v>16</v>
      </c>
      <c r="G12" t="s">
        <v>19</v>
      </c>
      <c r="H12">
        <v>555</v>
      </c>
      <c r="I12" t="e" vm="9">
        <v>#VALUE!</v>
      </c>
      <c r="J12" t="e" vm="10">
        <v>#VALUE!</v>
      </c>
      <c r="K12">
        <v>7209.45</v>
      </c>
    </row>
    <row r="13" spans="1:11" x14ac:dyDescent="0.25">
      <c r="A13">
        <v>10461</v>
      </c>
      <c r="B13" s="63">
        <v>44874</v>
      </c>
      <c r="C13" t="s">
        <v>18</v>
      </c>
      <c r="D13">
        <v>9.9499999999999993</v>
      </c>
      <c r="E13" t="s">
        <v>14</v>
      </c>
      <c r="F13" t="s">
        <v>16</v>
      </c>
      <c r="G13" t="s">
        <v>19</v>
      </c>
      <c r="H13">
        <v>202</v>
      </c>
      <c r="I13" t="e" vm="9">
        <v>#VALUE!</v>
      </c>
      <c r="J13" t="e" vm="10">
        <v>#VALUE!</v>
      </c>
      <c r="K13">
        <v>2009.8999999999999</v>
      </c>
    </row>
    <row r="14" spans="1:11" x14ac:dyDescent="0.25">
      <c r="A14">
        <v>10462</v>
      </c>
      <c r="B14" s="63">
        <v>44874</v>
      </c>
      <c r="C14" t="s">
        <v>9</v>
      </c>
      <c r="D14">
        <v>3.49</v>
      </c>
      <c r="E14" t="s">
        <v>14</v>
      </c>
      <c r="F14" t="s">
        <v>16</v>
      </c>
      <c r="G14" t="s">
        <v>19</v>
      </c>
      <c r="H14">
        <v>574</v>
      </c>
      <c r="I14" t="e" vm="9">
        <v>#VALUE!</v>
      </c>
      <c r="J14" t="e" vm="10">
        <v>#VALUE!</v>
      </c>
      <c r="K14">
        <v>2003.2600000000002</v>
      </c>
    </row>
    <row r="15" spans="1:11" x14ac:dyDescent="0.25">
      <c r="A15">
        <v>10463</v>
      </c>
      <c r="B15" s="63">
        <v>44874</v>
      </c>
      <c r="C15" t="s">
        <v>12</v>
      </c>
      <c r="D15">
        <v>2.95</v>
      </c>
      <c r="E15" t="s">
        <v>14</v>
      </c>
      <c r="F15" t="s">
        <v>16</v>
      </c>
      <c r="G15" t="s">
        <v>19</v>
      </c>
      <c r="H15">
        <v>678</v>
      </c>
      <c r="I15" t="e" vm="9">
        <v>#VALUE!</v>
      </c>
      <c r="J15" t="e" vm="10">
        <v>#VALUE!</v>
      </c>
      <c r="K15">
        <v>2000.1000000000001</v>
      </c>
    </row>
    <row r="16" spans="1:11" x14ac:dyDescent="0.25">
      <c r="A16">
        <v>10464</v>
      </c>
      <c r="B16" s="63">
        <v>44874</v>
      </c>
      <c r="C16" t="s">
        <v>13</v>
      </c>
      <c r="D16">
        <v>4.99</v>
      </c>
      <c r="E16" t="s">
        <v>14</v>
      </c>
      <c r="F16" t="s">
        <v>16</v>
      </c>
      <c r="G16" t="s">
        <v>19</v>
      </c>
      <c r="H16">
        <v>201</v>
      </c>
      <c r="I16" t="e" vm="9">
        <v>#VALUE!</v>
      </c>
      <c r="J16" t="e" vm="10">
        <v>#VALUE!</v>
      </c>
      <c r="K16">
        <v>1002.99</v>
      </c>
    </row>
    <row r="17" spans="1:11" x14ac:dyDescent="0.25">
      <c r="A17">
        <v>10465</v>
      </c>
      <c r="B17" s="63">
        <v>44875</v>
      </c>
      <c r="C17" t="s">
        <v>15</v>
      </c>
      <c r="D17">
        <v>12.99</v>
      </c>
      <c r="E17" t="s">
        <v>14</v>
      </c>
      <c r="F17" t="s">
        <v>16</v>
      </c>
      <c r="G17" t="s">
        <v>20</v>
      </c>
      <c r="H17">
        <v>555</v>
      </c>
      <c r="I17" t="e" vm="3">
        <v>#VALUE!</v>
      </c>
      <c r="J17" t="e" vm="4">
        <v>#VALUE!</v>
      </c>
      <c r="K17">
        <v>7209.45</v>
      </c>
    </row>
    <row r="18" spans="1:11" x14ac:dyDescent="0.25">
      <c r="A18">
        <v>10466</v>
      </c>
      <c r="B18" s="63">
        <v>44875</v>
      </c>
      <c r="C18" t="s">
        <v>18</v>
      </c>
      <c r="D18">
        <v>9.9499999999999993</v>
      </c>
      <c r="E18" t="s">
        <v>14</v>
      </c>
      <c r="F18" t="s">
        <v>16</v>
      </c>
      <c r="G18" t="s">
        <v>20</v>
      </c>
      <c r="H18">
        <v>202</v>
      </c>
      <c r="I18" t="e" vm="3">
        <v>#VALUE!</v>
      </c>
      <c r="J18" t="e" vm="4">
        <v>#VALUE!</v>
      </c>
      <c r="K18">
        <v>2009.8999999999999</v>
      </c>
    </row>
    <row r="19" spans="1:11" x14ac:dyDescent="0.25">
      <c r="A19">
        <v>10467</v>
      </c>
      <c r="B19" s="63">
        <v>44875</v>
      </c>
      <c r="C19" t="s">
        <v>9</v>
      </c>
      <c r="D19">
        <v>3.49</v>
      </c>
      <c r="E19" t="s">
        <v>14</v>
      </c>
      <c r="F19" t="s">
        <v>16</v>
      </c>
      <c r="G19" t="s">
        <v>20</v>
      </c>
      <c r="H19">
        <v>574</v>
      </c>
      <c r="I19" t="e" vm="3">
        <v>#VALUE!</v>
      </c>
      <c r="J19" t="e" vm="4">
        <v>#VALUE!</v>
      </c>
      <c r="K19">
        <v>2003.2600000000002</v>
      </c>
    </row>
    <row r="20" spans="1:11" x14ac:dyDescent="0.25">
      <c r="A20">
        <v>10468</v>
      </c>
      <c r="B20" s="63">
        <v>44875</v>
      </c>
      <c r="C20" t="s">
        <v>12</v>
      </c>
      <c r="D20">
        <v>2.95</v>
      </c>
      <c r="E20" t="s">
        <v>14</v>
      </c>
      <c r="F20" t="s">
        <v>16</v>
      </c>
      <c r="G20" t="s">
        <v>20</v>
      </c>
      <c r="H20">
        <v>678</v>
      </c>
      <c r="I20" t="e" vm="3">
        <v>#VALUE!</v>
      </c>
      <c r="J20" t="e" vm="4">
        <v>#VALUE!</v>
      </c>
      <c r="K20">
        <v>2000.1000000000001</v>
      </c>
    </row>
    <row r="21" spans="1:11" x14ac:dyDescent="0.25">
      <c r="A21">
        <v>10468</v>
      </c>
      <c r="B21" s="63">
        <v>44875</v>
      </c>
      <c r="C21" t="s">
        <v>12</v>
      </c>
      <c r="D21">
        <v>2.95</v>
      </c>
      <c r="E21" t="s">
        <v>14</v>
      </c>
      <c r="F21" t="s">
        <v>16</v>
      </c>
      <c r="G21" t="s">
        <v>20</v>
      </c>
      <c r="H21">
        <v>678</v>
      </c>
      <c r="I21" t="e" vm="3">
        <v>#VALUE!</v>
      </c>
      <c r="J21" t="e" vm="4">
        <v>#VALUE!</v>
      </c>
      <c r="K21">
        <v>2000.1000000000001</v>
      </c>
    </row>
    <row r="22" spans="1:11" x14ac:dyDescent="0.25">
      <c r="A22">
        <v>10470</v>
      </c>
      <c r="B22" s="63">
        <v>44876</v>
      </c>
      <c r="C22" t="s">
        <v>15</v>
      </c>
      <c r="D22">
        <v>12.99</v>
      </c>
      <c r="E22" t="s">
        <v>14</v>
      </c>
      <c r="F22" t="s">
        <v>16</v>
      </c>
      <c r="G22" t="s">
        <v>20</v>
      </c>
      <c r="H22">
        <v>555</v>
      </c>
      <c r="I22" t="e" vm="3">
        <v>#VALUE!</v>
      </c>
      <c r="J22" t="e" vm="4">
        <v>#VALUE!</v>
      </c>
      <c r="K22">
        <v>7209.45</v>
      </c>
    </row>
    <row r="23" spans="1:11" x14ac:dyDescent="0.25">
      <c r="A23">
        <v>10471</v>
      </c>
      <c r="B23" s="63">
        <v>44876</v>
      </c>
      <c r="C23" t="s">
        <v>18</v>
      </c>
      <c r="D23">
        <v>9.9499999999999993</v>
      </c>
      <c r="E23" t="s">
        <v>14</v>
      </c>
      <c r="F23" t="s">
        <v>16</v>
      </c>
      <c r="G23" t="s">
        <v>20</v>
      </c>
      <c r="H23">
        <v>202</v>
      </c>
      <c r="I23" t="e" vm="3">
        <v>#VALUE!</v>
      </c>
      <c r="J23" t="e" vm="4">
        <v>#VALUE!</v>
      </c>
      <c r="K23">
        <v>2009.8999999999999</v>
      </c>
    </row>
    <row r="24" spans="1:11" x14ac:dyDescent="0.25">
      <c r="A24">
        <v>10472</v>
      </c>
      <c r="B24" s="63">
        <v>44876</v>
      </c>
      <c r="C24" t="s">
        <v>9</v>
      </c>
      <c r="D24">
        <v>3.49</v>
      </c>
      <c r="E24" t="s">
        <v>14</v>
      </c>
      <c r="F24" t="s">
        <v>16</v>
      </c>
      <c r="G24" t="s">
        <v>20</v>
      </c>
      <c r="H24">
        <v>631</v>
      </c>
      <c r="I24" t="e" vm="3">
        <v>#VALUE!</v>
      </c>
      <c r="J24" t="e" vm="4">
        <v>#VALUE!</v>
      </c>
      <c r="K24">
        <v>2202.19</v>
      </c>
    </row>
    <row r="25" spans="1:11" x14ac:dyDescent="0.25">
      <c r="A25">
        <v>10473</v>
      </c>
      <c r="B25" s="63">
        <v>44876</v>
      </c>
      <c r="C25" t="s">
        <v>12</v>
      </c>
      <c r="D25">
        <v>2.95</v>
      </c>
      <c r="E25" t="s">
        <v>14</v>
      </c>
      <c r="F25" t="s">
        <v>16</v>
      </c>
      <c r="G25" t="s">
        <v>20</v>
      </c>
      <c r="H25">
        <v>678</v>
      </c>
      <c r="I25" t="e" vm="3">
        <v>#VALUE!</v>
      </c>
      <c r="J25" t="e" vm="4">
        <v>#VALUE!</v>
      </c>
      <c r="K25">
        <v>2000.1000000000001</v>
      </c>
    </row>
    <row r="26" spans="1:11" x14ac:dyDescent="0.25">
      <c r="A26">
        <v>10474</v>
      </c>
      <c r="B26" s="63">
        <v>44876</v>
      </c>
      <c r="C26" t="s">
        <v>13</v>
      </c>
      <c r="D26">
        <v>4.99</v>
      </c>
      <c r="E26" t="s">
        <v>14</v>
      </c>
      <c r="F26" t="s">
        <v>16</v>
      </c>
      <c r="G26" t="s">
        <v>20</v>
      </c>
      <c r="H26">
        <v>201</v>
      </c>
      <c r="I26" t="e" vm="3">
        <v>#VALUE!</v>
      </c>
      <c r="J26" t="e" vm="4">
        <v>#VALUE!</v>
      </c>
      <c r="K26">
        <v>1002.99</v>
      </c>
    </row>
    <row r="27" spans="1:11" x14ac:dyDescent="0.25">
      <c r="A27">
        <v>10475</v>
      </c>
      <c r="B27" s="63">
        <v>44877</v>
      </c>
      <c r="C27" t="s">
        <v>15</v>
      </c>
      <c r="D27">
        <v>12.99</v>
      </c>
      <c r="E27" t="s">
        <v>14</v>
      </c>
      <c r="F27" t="s">
        <v>16</v>
      </c>
      <c r="G27" t="s">
        <v>20</v>
      </c>
      <c r="H27">
        <v>524</v>
      </c>
      <c r="I27" t="e" vm="3">
        <v>#VALUE!</v>
      </c>
      <c r="J27" t="e" vm="4">
        <v>#VALUE!</v>
      </c>
      <c r="K27">
        <v>6806.76</v>
      </c>
    </row>
    <row r="28" spans="1:11" x14ac:dyDescent="0.25">
      <c r="A28">
        <v>10476</v>
      </c>
      <c r="B28" s="63">
        <v>44877</v>
      </c>
      <c r="C28" t="s">
        <v>18</v>
      </c>
      <c r="D28">
        <v>9.9499999999999993</v>
      </c>
      <c r="E28" t="s">
        <v>14</v>
      </c>
      <c r="F28" t="s">
        <v>16</v>
      </c>
      <c r="G28" t="s">
        <v>20</v>
      </c>
      <c r="H28">
        <v>202</v>
      </c>
      <c r="I28" t="e" vm="3">
        <v>#VALUE!</v>
      </c>
      <c r="J28" t="e" vm="4">
        <v>#VALUE!</v>
      </c>
      <c r="K28">
        <v>2009.8999999999999</v>
      </c>
    </row>
    <row r="29" spans="1:11" x14ac:dyDescent="0.25">
      <c r="A29">
        <v>10477</v>
      </c>
      <c r="B29" s="63">
        <v>44877</v>
      </c>
      <c r="C29" t="s">
        <v>9</v>
      </c>
      <c r="D29">
        <v>3.49</v>
      </c>
      <c r="E29" t="s">
        <v>14</v>
      </c>
      <c r="F29" t="s">
        <v>16</v>
      </c>
      <c r="G29" t="s">
        <v>20</v>
      </c>
      <c r="H29">
        <v>631</v>
      </c>
      <c r="I29" t="e" vm="3">
        <v>#VALUE!</v>
      </c>
      <c r="J29" t="e" vm="4">
        <v>#VALUE!</v>
      </c>
      <c r="K29">
        <v>2202.19</v>
      </c>
    </row>
    <row r="30" spans="1:11" x14ac:dyDescent="0.25">
      <c r="A30">
        <v>10478</v>
      </c>
      <c r="B30" s="63">
        <v>44877</v>
      </c>
      <c r="C30" t="s">
        <v>12</v>
      </c>
      <c r="D30">
        <v>2.95</v>
      </c>
      <c r="E30" t="s">
        <v>14</v>
      </c>
      <c r="F30" t="s">
        <v>16</v>
      </c>
      <c r="G30" t="s">
        <v>20</v>
      </c>
      <c r="H30">
        <v>678</v>
      </c>
      <c r="I30" t="e" vm="3">
        <v>#VALUE!</v>
      </c>
      <c r="J30" t="e" vm="4">
        <v>#VALUE!</v>
      </c>
      <c r="K30">
        <v>2000.1000000000001</v>
      </c>
    </row>
    <row r="31" spans="1:11" x14ac:dyDescent="0.25">
      <c r="A31">
        <v>10479</v>
      </c>
      <c r="B31" s="63">
        <v>44877</v>
      </c>
      <c r="C31" t="s">
        <v>13</v>
      </c>
      <c r="D31">
        <v>4.99</v>
      </c>
      <c r="E31" t="s">
        <v>14</v>
      </c>
      <c r="F31" t="s">
        <v>16</v>
      </c>
      <c r="G31" t="s">
        <v>20</v>
      </c>
      <c r="H31">
        <v>201</v>
      </c>
      <c r="I31" t="e" vm="3">
        <v>#VALUE!</v>
      </c>
      <c r="J31" t="e" vm="4">
        <v>#VALUE!</v>
      </c>
      <c r="K31">
        <v>1002.99</v>
      </c>
    </row>
    <row r="32" spans="1:11" x14ac:dyDescent="0.25">
      <c r="A32">
        <v>10480</v>
      </c>
      <c r="B32" s="63">
        <v>44878</v>
      </c>
      <c r="C32" t="s">
        <v>15</v>
      </c>
      <c r="D32">
        <v>12.99</v>
      </c>
      <c r="E32" t="s">
        <v>14</v>
      </c>
      <c r="F32" t="s">
        <v>16</v>
      </c>
      <c r="G32" t="s">
        <v>20</v>
      </c>
      <c r="H32">
        <v>509</v>
      </c>
      <c r="I32" t="e" vm="3">
        <v>#VALUE!</v>
      </c>
      <c r="J32" t="e" vm="4">
        <v>#VALUE!</v>
      </c>
      <c r="K32">
        <v>6611.91</v>
      </c>
    </row>
    <row r="33" spans="1:11" x14ac:dyDescent="0.25">
      <c r="A33">
        <v>10481</v>
      </c>
      <c r="B33" s="63">
        <v>44878</v>
      </c>
      <c r="C33" t="s">
        <v>18</v>
      </c>
      <c r="D33">
        <v>9.9499999999999993</v>
      </c>
      <c r="E33" t="s">
        <v>14</v>
      </c>
      <c r="F33" t="s">
        <v>16</v>
      </c>
      <c r="G33" t="s">
        <v>20</v>
      </c>
      <c r="H33">
        <v>202</v>
      </c>
      <c r="I33" t="e" vm="3">
        <v>#VALUE!</v>
      </c>
      <c r="J33" t="e" vm="4">
        <v>#VALUE!</v>
      </c>
      <c r="K33">
        <v>2009.8999999999999</v>
      </c>
    </row>
    <row r="34" spans="1:11" x14ac:dyDescent="0.25">
      <c r="A34">
        <v>10482</v>
      </c>
      <c r="B34" s="63">
        <v>44878</v>
      </c>
      <c r="C34" t="s">
        <v>9</v>
      </c>
      <c r="D34">
        <v>25.5</v>
      </c>
      <c r="E34" t="s">
        <v>14</v>
      </c>
      <c r="F34" t="s">
        <v>16</v>
      </c>
      <c r="G34" t="s">
        <v>21</v>
      </c>
      <c r="H34">
        <v>631</v>
      </c>
      <c r="I34" t="e" vm="5">
        <v>#VALUE!</v>
      </c>
      <c r="J34" t="e" vm="6">
        <v>#VALUE!</v>
      </c>
      <c r="K34">
        <v>16090.5</v>
      </c>
    </row>
    <row r="35" spans="1:11" x14ac:dyDescent="0.25">
      <c r="A35">
        <v>10483</v>
      </c>
      <c r="B35" s="63">
        <v>44878</v>
      </c>
      <c r="C35" t="s">
        <v>12</v>
      </c>
      <c r="D35">
        <v>33.22</v>
      </c>
      <c r="E35" t="s">
        <v>14</v>
      </c>
      <c r="F35" t="s">
        <v>16</v>
      </c>
      <c r="G35" t="s">
        <v>21</v>
      </c>
      <c r="H35">
        <v>678</v>
      </c>
      <c r="I35" t="e" vm="5">
        <v>#VALUE!</v>
      </c>
      <c r="J35" t="e" vm="6">
        <v>#VALUE!</v>
      </c>
      <c r="K35">
        <v>22523.16</v>
      </c>
    </row>
    <row r="36" spans="1:11" x14ac:dyDescent="0.25">
      <c r="A36">
        <v>10484</v>
      </c>
      <c r="B36" s="63">
        <v>44878</v>
      </c>
      <c r="C36" t="s">
        <v>13</v>
      </c>
      <c r="D36">
        <v>21.44</v>
      </c>
      <c r="E36" t="s">
        <v>14</v>
      </c>
      <c r="F36" t="s">
        <v>16</v>
      </c>
      <c r="G36" t="s">
        <v>21</v>
      </c>
      <c r="H36">
        <v>201</v>
      </c>
      <c r="I36" t="e" vm="5">
        <v>#VALUE!</v>
      </c>
      <c r="J36" t="e" vm="6">
        <v>#VALUE!</v>
      </c>
      <c r="K36">
        <v>4309.4400000000005</v>
      </c>
    </row>
    <row r="37" spans="1:11" x14ac:dyDescent="0.25">
      <c r="A37">
        <v>10485</v>
      </c>
      <c r="B37" s="63">
        <v>44879</v>
      </c>
      <c r="C37" t="s">
        <v>15</v>
      </c>
      <c r="D37">
        <v>27.99</v>
      </c>
      <c r="E37" t="s">
        <v>14</v>
      </c>
      <c r="F37" t="s">
        <v>16</v>
      </c>
      <c r="G37" t="s">
        <v>21</v>
      </c>
      <c r="H37">
        <v>524</v>
      </c>
      <c r="I37" t="e" vm="5">
        <v>#VALUE!</v>
      </c>
      <c r="J37" t="e" vm="6">
        <v>#VALUE!</v>
      </c>
      <c r="K37">
        <v>14666.759999999998</v>
      </c>
    </row>
    <row r="38" spans="1:11" x14ac:dyDescent="0.25">
      <c r="A38">
        <v>10486</v>
      </c>
      <c r="B38" s="63">
        <v>44879</v>
      </c>
      <c r="C38" t="s">
        <v>18</v>
      </c>
      <c r="D38">
        <v>29.05</v>
      </c>
      <c r="E38" t="s">
        <v>14</v>
      </c>
      <c r="F38" t="s">
        <v>16</v>
      </c>
      <c r="G38" t="s">
        <v>21</v>
      </c>
      <c r="H38">
        <v>202</v>
      </c>
      <c r="I38" t="e" vm="5">
        <v>#VALUE!</v>
      </c>
      <c r="J38" t="e" vm="6">
        <v>#VALUE!</v>
      </c>
      <c r="K38">
        <v>5868.1</v>
      </c>
    </row>
    <row r="39" spans="1:11" x14ac:dyDescent="0.25">
      <c r="A39">
        <v>10487</v>
      </c>
      <c r="B39" s="63">
        <v>44879</v>
      </c>
      <c r="C39" t="s">
        <v>9</v>
      </c>
      <c r="D39">
        <v>3.49</v>
      </c>
      <c r="E39" t="s">
        <v>14</v>
      </c>
      <c r="F39" t="s">
        <v>16</v>
      </c>
      <c r="G39" t="s">
        <v>21</v>
      </c>
      <c r="H39">
        <v>631</v>
      </c>
      <c r="I39" t="e" vm="5">
        <v>#VALUE!</v>
      </c>
      <c r="J39" t="e" vm="6">
        <v>#VALUE!</v>
      </c>
      <c r="K39">
        <v>2202.19</v>
      </c>
    </row>
    <row r="40" spans="1:11" x14ac:dyDescent="0.25">
      <c r="A40">
        <v>10488</v>
      </c>
      <c r="B40" s="63">
        <v>44879</v>
      </c>
      <c r="C40" t="s">
        <v>12</v>
      </c>
      <c r="D40">
        <v>2.95</v>
      </c>
      <c r="E40" t="s">
        <v>14</v>
      </c>
      <c r="F40" t="s">
        <v>16</v>
      </c>
      <c r="G40" t="s">
        <v>21</v>
      </c>
      <c r="H40">
        <v>678</v>
      </c>
      <c r="I40" t="e" vm="5">
        <v>#VALUE!</v>
      </c>
      <c r="J40" t="e" vm="6">
        <v>#VALUE!</v>
      </c>
      <c r="K40">
        <v>2000.1000000000001</v>
      </c>
    </row>
    <row r="41" spans="1:11" x14ac:dyDescent="0.25">
      <c r="A41">
        <v>10489</v>
      </c>
      <c r="B41" s="63">
        <v>44879</v>
      </c>
      <c r="C41" t="s">
        <v>13</v>
      </c>
      <c r="D41">
        <v>4.99</v>
      </c>
      <c r="E41" t="s">
        <v>14</v>
      </c>
      <c r="F41" t="s">
        <v>16</v>
      </c>
      <c r="G41" t="s">
        <v>20</v>
      </c>
      <c r="H41">
        <v>201</v>
      </c>
      <c r="I41" t="e" vm="3">
        <v>#VALUE!</v>
      </c>
      <c r="J41" t="e" vm="4">
        <v>#VALUE!</v>
      </c>
      <c r="K41">
        <v>1002.99</v>
      </c>
    </row>
    <row r="42" spans="1:11" x14ac:dyDescent="0.25">
      <c r="A42">
        <v>10490</v>
      </c>
      <c r="B42" s="63">
        <v>44880</v>
      </c>
      <c r="C42" t="s">
        <v>15</v>
      </c>
      <c r="D42">
        <v>12.99</v>
      </c>
      <c r="E42" t="s">
        <v>14</v>
      </c>
      <c r="F42" t="s">
        <v>16</v>
      </c>
      <c r="G42" t="s">
        <v>20</v>
      </c>
      <c r="H42">
        <v>509</v>
      </c>
      <c r="I42" t="e" vm="3">
        <v>#VALUE!</v>
      </c>
      <c r="J42" t="e" vm="4">
        <v>#VALUE!</v>
      </c>
      <c r="K42">
        <v>6611.91</v>
      </c>
    </row>
    <row r="43" spans="1:11" x14ac:dyDescent="0.25">
      <c r="A43">
        <v>10491</v>
      </c>
      <c r="B43" s="63">
        <v>44880</v>
      </c>
      <c r="C43" t="s">
        <v>18</v>
      </c>
      <c r="D43">
        <v>9.9499999999999993</v>
      </c>
      <c r="E43" t="s">
        <v>14</v>
      </c>
      <c r="F43" t="s">
        <v>16</v>
      </c>
      <c r="G43" t="s">
        <v>20</v>
      </c>
      <c r="H43">
        <v>202</v>
      </c>
      <c r="I43" t="e" vm="3">
        <v>#VALUE!</v>
      </c>
      <c r="J43" t="e" vm="4">
        <v>#VALUE!</v>
      </c>
      <c r="K43">
        <v>2009.8999999999999</v>
      </c>
    </row>
    <row r="44" spans="1:11" x14ac:dyDescent="0.25">
      <c r="A44">
        <v>10492</v>
      </c>
      <c r="B44" s="63">
        <v>44880</v>
      </c>
      <c r="C44" t="s">
        <v>9</v>
      </c>
      <c r="D44">
        <v>3.49</v>
      </c>
      <c r="E44" t="s">
        <v>14</v>
      </c>
      <c r="F44" t="s">
        <v>16</v>
      </c>
      <c r="G44" t="s">
        <v>20</v>
      </c>
      <c r="H44">
        <v>574</v>
      </c>
      <c r="I44" t="e" vm="3">
        <v>#VALUE!</v>
      </c>
      <c r="J44" t="e" vm="4">
        <v>#VALUE!</v>
      </c>
      <c r="K44">
        <v>2003.2600000000002</v>
      </c>
    </row>
    <row r="45" spans="1:11" x14ac:dyDescent="0.25">
      <c r="A45">
        <v>10493</v>
      </c>
      <c r="B45" s="63">
        <v>44880</v>
      </c>
      <c r="C45" t="s">
        <v>12</v>
      </c>
      <c r="D45">
        <v>2.95</v>
      </c>
      <c r="E45" t="s">
        <v>14</v>
      </c>
      <c r="F45" t="s">
        <v>16</v>
      </c>
      <c r="G45" t="s">
        <v>20</v>
      </c>
      <c r="H45">
        <v>678</v>
      </c>
      <c r="I45" t="e" vm="3">
        <v>#VALUE!</v>
      </c>
      <c r="J45" t="e" vm="4">
        <v>#VALUE!</v>
      </c>
      <c r="K45">
        <v>2000.1000000000001</v>
      </c>
    </row>
    <row r="46" spans="1:11" x14ac:dyDescent="0.25">
      <c r="A46">
        <v>10494</v>
      </c>
      <c r="B46" s="63">
        <v>44880</v>
      </c>
      <c r="C46" t="s">
        <v>13</v>
      </c>
      <c r="D46">
        <v>4.99</v>
      </c>
      <c r="E46" t="s">
        <v>14</v>
      </c>
      <c r="F46" t="s">
        <v>16</v>
      </c>
      <c r="G46" t="s">
        <v>20</v>
      </c>
      <c r="H46">
        <v>201</v>
      </c>
      <c r="I46" t="e" vm="3">
        <v>#VALUE!</v>
      </c>
      <c r="J46" t="e" vm="4">
        <v>#VALUE!</v>
      </c>
      <c r="K46">
        <v>1002.99</v>
      </c>
    </row>
    <row r="47" spans="1:11" x14ac:dyDescent="0.25">
      <c r="A47">
        <v>10495</v>
      </c>
      <c r="B47" s="63">
        <v>44881</v>
      </c>
      <c r="C47" t="s">
        <v>15</v>
      </c>
      <c r="D47">
        <v>12.99</v>
      </c>
      <c r="E47" t="s">
        <v>14</v>
      </c>
      <c r="F47" t="s">
        <v>16</v>
      </c>
      <c r="G47" t="s">
        <v>20</v>
      </c>
      <c r="H47">
        <v>509</v>
      </c>
      <c r="I47" t="e" vm="3">
        <v>#VALUE!</v>
      </c>
      <c r="J47" t="e" vm="4">
        <v>#VALUE!</v>
      </c>
      <c r="K47">
        <v>6611.91</v>
      </c>
    </row>
    <row r="48" spans="1:11" x14ac:dyDescent="0.25">
      <c r="A48">
        <v>10496</v>
      </c>
      <c r="B48" s="63">
        <v>44881</v>
      </c>
      <c r="C48" t="s">
        <v>18</v>
      </c>
      <c r="D48">
        <v>9.9499999999999993</v>
      </c>
      <c r="E48" t="s">
        <v>14</v>
      </c>
      <c r="F48" t="s">
        <v>16</v>
      </c>
      <c r="G48" t="s">
        <v>20</v>
      </c>
      <c r="H48">
        <v>202</v>
      </c>
      <c r="I48" t="e" vm="3">
        <v>#VALUE!</v>
      </c>
      <c r="J48" t="e" vm="4">
        <v>#VALUE!</v>
      </c>
      <c r="K48">
        <v>2009.8999999999999</v>
      </c>
    </row>
    <row r="49" spans="1:11" x14ac:dyDescent="0.25">
      <c r="A49">
        <v>10497</v>
      </c>
      <c r="B49" s="63">
        <v>44881</v>
      </c>
      <c r="C49" t="s">
        <v>9</v>
      </c>
      <c r="D49">
        <v>3.49</v>
      </c>
      <c r="E49" t="s">
        <v>14</v>
      </c>
      <c r="F49" t="s">
        <v>16</v>
      </c>
      <c r="G49" t="s">
        <v>20</v>
      </c>
      <c r="H49">
        <v>574</v>
      </c>
      <c r="I49" t="e" vm="3">
        <v>#VALUE!</v>
      </c>
      <c r="J49" t="e" vm="4">
        <v>#VALUE!</v>
      </c>
      <c r="K49">
        <v>2003.2600000000002</v>
      </c>
    </row>
    <row r="50" spans="1:11" x14ac:dyDescent="0.25">
      <c r="A50">
        <v>10498</v>
      </c>
      <c r="B50" s="63">
        <v>44881</v>
      </c>
      <c r="C50" t="s">
        <v>12</v>
      </c>
      <c r="D50">
        <v>2.95</v>
      </c>
      <c r="E50" t="s">
        <v>22</v>
      </c>
      <c r="F50" t="s">
        <v>16</v>
      </c>
      <c r="G50" t="s">
        <v>20</v>
      </c>
      <c r="H50">
        <v>678</v>
      </c>
      <c r="I50" t="e" vm="3">
        <v>#VALUE!</v>
      </c>
      <c r="J50" t="e" vm="4">
        <v>#VALUE!</v>
      </c>
      <c r="K50">
        <v>2000.1000000000001</v>
      </c>
    </row>
    <row r="51" spans="1:11" x14ac:dyDescent="0.25">
      <c r="A51">
        <v>10499</v>
      </c>
      <c r="B51" s="63">
        <v>44881</v>
      </c>
      <c r="C51" t="s">
        <v>13</v>
      </c>
      <c r="D51">
        <v>4.99</v>
      </c>
      <c r="E51" t="s">
        <v>22</v>
      </c>
      <c r="F51" t="s">
        <v>16</v>
      </c>
      <c r="G51" t="s">
        <v>20</v>
      </c>
      <c r="H51">
        <v>201</v>
      </c>
      <c r="I51" t="e" vm="3">
        <v>#VALUE!</v>
      </c>
      <c r="J51" t="e" vm="4">
        <v>#VALUE!</v>
      </c>
      <c r="K51">
        <v>1002.99</v>
      </c>
    </row>
    <row r="52" spans="1:11" x14ac:dyDescent="0.25">
      <c r="A52">
        <v>10500</v>
      </c>
      <c r="B52" s="63">
        <v>44882</v>
      </c>
      <c r="C52" t="s">
        <v>15</v>
      </c>
      <c r="D52">
        <v>12.99</v>
      </c>
      <c r="E52" t="s">
        <v>22</v>
      </c>
      <c r="F52" t="s">
        <v>16</v>
      </c>
      <c r="G52" t="s">
        <v>20</v>
      </c>
      <c r="H52">
        <v>524</v>
      </c>
      <c r="I52" t="e" vm="3">
        <v>#VALUE!</v>
      </c>
      <c r="J52" t="e" vm="4">
        <v>#VALUE!</v>
      </c>
      <c r="K52">
        <v>6806.76</v>
      </c>
    </row>
    <row r="53" spans="1:11" x14ac:dyDescent="0.25">
      <c r="A53">
        <v>10501</v>
      </c>
      <c r="B53" s="63">
        <v>44882</v>
      </c>
      <c r="C53" t="s">
        <v>18</v>
      </c>
      <c r="D53">
        <v>9.9499999999999993</v>
      </c>
      <c r="E53" t="s">
        <v>22</v>
      </c>
      <c r="F53" t="s">
        <v>16</v>
      </c>
      <c r="G53" t="s">
        <v>20</v>
      </c>
      <c r="H53">
        <v>202</v>
      </c>
      <c r="I53" t="e" vm="3">
        <v>#VALUE!</v>
      </c>
      <c r="J53" t="e" vm="4">
        <v>#VALUE!</v>
      </c>
      <c r="K53">
        <v>2009.8999999999999</v>
      </c>
    </row>
    <row r="54" spans="1:11" x14ac:dyDescent="0.25">
      <c r="A54">
        <v>10502</v>
      </c>
      <c r="B54" s="63">
        <v>44882</v>
      </c>
      <c r="C54" t="s">
        <v>9</v>
      </c>
      <c r="D54">
        <v>3.49</v>
      </c>
      <c r="E54" t="s">
        <v>22</v>
      </c>
      <c r="F54" t="s">
        <v>16</v>
      </c>
      <c r="G54" t="s">
        <v>20</v>
      </c>
      <c r="H54">
        <v>631</v>
      </c>
      <c r="I54" t="e" vm="3">
        <v>#VALUE!</v>
      </c>
      <c r="J54" t="e" vm="4">
        <v>#VALUE!</v>
      </c>
      <c r="K54">
        <v>2202.19</v>
      </c>
    </row>
    <row r="55" spans="1:11" x14ac:dyDescent="0.25">
      <c r="A55">
        <v>10503</v>
      </c>
      <c r="B55" s="63">
        <v>44882</v>
      </c>
      <c r="C55" t="s">
        <v>12</v>
      </c>
      <c r="D55">
        <v>2.95</v>
      </c>
      <c r="E55" t="s">
        <v>22</v>
      </c>
      <c r="F55" t="s">
        <v>16</v>
      </c>
      <c r="G55" t="s">
        <v>20</v>
      </c>
      <c r="H55">
        <v>678</v>
      </c>
      <c r="I55" t="e" vm="3">
        <v>#VALUE!</v>
      </c>
      <c r="J55" t="e" vm="4">
        <v>#VALUE!</v>
      </c>
      <c r="K55">
        <v>2000.1000000000001</v>
      </c>
    </row>
    <row r="56" spans="1:11" x14ac:dyDescent="0.25">
      <c r="A56">
        <v>10504</v>
      </c>
      <c r="B56" s="63">
        <v>44882</v>
      </c>
      <c r="C56" t="s">
        <v>13</v>
      </c>
      <c r="D56">
        <v>4.99</v>
      </c>
      <c r="E56" t="s">
        <v>22</v>
      </c>
      <c r="F56" t="s">
        <v>16</v>
      </c>
      <c r="G56" t="s">
        <v>20</v>
      </c>
      <c r="H56">
        <v>201</v>
      </c>
      <c r="I56" t="e" vm="3">
        <v>#VALUE!</v>
      </c>
      <c r="J56" t="e" vm="4">
        <v>#VALUE!</v>
      </c>
      <c r="K56">
        <v>1002.99</v>
      </c>
    </row>
    <row r="57" spans="1:11" x14ac:dyDescent="0.25">
      <c r="A57">
        <v>10505</v>
      </c>
      <c r="B57" s="63">
        <v>44883</v>
      </c>
      <c r="C57" t="s">
        <v>15</v>
      </c>
      <c r="D57">
        <v>12.99</v>
      </c>
      <c r="E57" t="s">
        <v>22</v>
      </c>
      <c r="F57" t="s">
        <v>16</v>
      </c>
      <c r="G57" t="s">
        <v>20</v>
      </c>
      <c r="H57">
        <v>539</v>
      </c>
      <c r="I57" t="e" vm="3">
        <v>#VALUE!</v>
      </c>
      <c r="J57" t="e" vm="4">
        <v>#VALUE!</v>
      </c>
      <c r="K57">
        <v>7001.61</v>
      </c>
    </row>
    <row r="58" spans="1:11" x14ac:dyDescent="0.25">
      <c r="A58">
        <v>10506</v>
      </c>
      <c r="B58" s="63">
        <v>44883</v>
      </c>
      <c r="C58" t="s">
        <v>18</v>
      </c>
      <c r="D58">
        <v>9.9499999999999993</v>
      </c>
      <c r="E58" t="s">
        <v>22</v>
      </c>
      <c r="F58" t="s">
        <v>16</v>
      </c>
      <c r="G58" t="s">
        <v>20</v>
      </c>
      <c r="H58">
        <v>202</v>
      </c>
      <c r="I58" t="e" vm="3">
        <v>#VALUE!</v>
      </c>
      <c r="J58" t="e" vm="4">
        <v>#VALUE!</v>
      </c>
      <c r="K58">
        <v>2009.8999999999999</v>
      </c>
    </row>
    <row r="59" spans="1:11" x14ac:dyDescent="0.25">
      <c r="A59">
        <v>10507</v>
      </c>
      <c r="B59" s="63">
        <v>44883</v>
      </c>
      <c r="C59" t="s">
        <v>9</v>
      </c>
      <c r="D59">
        <v>3.49</v>
      </c>
      <c r="E59" t="s">
        <v>22</v>
      </c>
      <c r="F59" t="s">
        <v>16</v>
      </c>
      <c r="G59" t="s">
        <v>20</v>
      </c>
      <c r="H59">
        <v>688</v>
      </c>
      <c r="I59" t="e" vm="3">
        <v>#VALUE!</v>
      </c>
      <c r="J59" t="e" vm="4">
        <v>#VALUE!</v>
      </c>
      <c r="K59">
        <v>2401.1200000000003</v>
      </c>
    </row>
    <row r="60" spans="1:11" x14ac:dyDescent="0.25">
      <c r="A60">
        <v>10508</v>
      </c>
      <c r="B60" s="63">
        <v>44883</v>
      </c>
      <c r="C60" t="s">
        <v>12</v>
      </c>
      <c r="D60">
        <v>2.95</v>
      </c>
      <c r="E60" t="s">
        <v>22</v>
      </c>
      <c r="F60" t="s">
        <v>16</v>
      </c>
      <c r="G60" t="s">
        <v>20</v>
      </c>
      <c r="H60">
        <v>678</v>
      </c>
      <c r="I60" t="e" vm="3">
        <v>#VALUE!</v>
      </c>
      <c r="J60" t="e" vm="4">
        <v>#VALUE!</v>
      </c>
      <c r="K60">
        <v>2000.1000000000001</v>
      </c>
    </row>
    <row r="61" spans="1:11" x14ac:dyDescent="0.25">
      <c r="A61">
        <v>10509</v>
      </c>
      <c r="B61" s="63">
        <v>44883</v>
      </c>
      <c r="C61" t="s">
        <v>13</v>
      </c>
      <c r="D61">
        <v>4.99</v>
      </c>
      <c r="E61" t="s">
        <v>22</v>
      </c>
      <c r="F61" t="s">
        <v>16</v>
      </c>
      <c r="G61" t="s">
        <v>20</v>
      </c>
      <c r="H61">
        <v>201</v>
      </c>
      <c r="I61" t="e" vm="3">
        <v>#VALUE!</v>
      </c>
      <c r="J61" t="e" vm="4">
        <v>#VALUE!</v>
      </c>
      <c r="K61">
        <v>1002.99</v>
      </c>
    </row>
    <row r="62" spans="1:11" x14ac:dyDescent="0.25">
      <c r="A62">
        <v>10510</v>
      </c>
      <c r="B62" s="63">
        <v>44884</v>
      </c>
      <c r="C62" t="s">
        <v>15</v>
      </c>
      <c r="D62">
        <v>12.99</v>
      </c>
      <c r="E62" t="s">
        <v>22</v>
      </c>
      <c r="F62" t="s">
        <v>16</v>
      </c>
      <c r="G62" t="s">
        <v>20</v>
      </c>
      <c r="H62">
        <v>509</v>
      </c>
      <c r="I62" t="e" vm="3">
        <v>#VALUE!</v>
      </c>
      <c r="J62" t="e" vm="4">
        <v>#VALUE!</v>
      </c>
      <c r="K62">
        <v>6611.91</v>
      </c>
    </row>
    <row r="63" spans="1:11" x14ac:dyDescent="0.25">
      <c r="A63">
        <v>10511</v>
      </c>
      <c r="B63" s="63">
        <v>44884</v>
      </c>
      <c r="C63" t="s">
        <v>18</v>
      </c>
      <c r="D63">
        <v>9.9499999999999993</v>
      </c>
      <c r="E63" t="s">
        <v>22</v>
      </c>
      <c r="F63" t="s">
        <v>16</v>
      </c>
      <c r="G63" t="s">
        <v>21</v>
      </c>
      <c r="H63">
        <v>202</v>
      </c>
      <c r="I63" t="e" vm="5">
        <v>#VALUE!</v>
      </c>
      <c r="J63" t="e" vm="6">
        <v>#VALUE!</v>
      </c>
      <c r="K63">
        <v>2009.8999999999999</v>
      </c>
    </row>
    <row r="64" spans="1:11" x14ac:dyDescent="0.25">
      <c r="A64">
        <v>10512</v>
      </c>
      <c r="B64" s="63">
        <v>44884</v>
      </c>
      <c r="C64" t="s">
        <v>9</v>
      </c>
      <c r="D64">
        <v>3.49</v>
      </c>
      <c r="E64" t="s">
        <v>22</v>
      </c>
      <c r="F64" t="s">
        <v>16</v>
      </c>
      <c r="G64" t="s">
        <v>21</v>
      </c>
      <c r="H64">
        <v>688</v>
      </c>
      <c r="I64" t="e" vm="5">
        <v>#VALUE!</v>
      </c>
      <c r="J64" t="e" vm="6">
        <v>#VALUE!</v>
      </c>
      <c r="K64">
        <v>2401.1200000000003</v>
      </c>
    </row>
    <row r="65" spans="1:11" x14ac:dyDescent="0.25">
      <c r="A65">
        <v>10513</v>
      </c>
      <c r="B65" s="63">
        <v>44884</v>
      </c>
      <c r="C65" t="s">
        <v>12</v>
      </c>
      <c r="D65">
        <v>2.95</v>
      </c>
      <c r="E65" t="s">
        <v>22</v>
      </c>
      <c r="F65" t="s">
        <v>23</v>
      </c>
      <c r="G65" t="s">
        <v>21</v>
      </c>
      <c r="H65">
        <v>678</v>
      </c>
      <c r="I65" t="e" vm="5">
        <v>#VALUE!</v>
      </c>
      <c r="J65" t="e" vm="6">
        <v>#VALUE!</v>
      </c>
      <c r="K65">
        <v>2000.1000000000001</v>
      </c>
    </row>
    <row r="66" spans="1:11" x14ac:dyDescent="0.25">
      <c r="A66">
        <v>10514</v>
      </c>
      <c r="B66" s="63">
        <v>44884</v>
      </c>
      <c r="C66" t="s">
        <v>13</v>
      </c>
      <c r="D66">
        <v>4.99</v>
      </c>
      <c r="E66" t="s">
        <v>22</v>
      </c>
      <c r="F66" t="s">
        <v>23</v>
      </c>
      <c r="G66" t="s">
        <v>21</v>
      </c>
      <c r="H66">
        <v>201</v>
      </c>
      <c r="I66" t="e" vm="5">
        <v>#VALUE!</v>
      </c>
      <c r="J66" t="e" vm="6">
        <v>#VALUE!</v>
      </c>
      <c r="K66">
        <v>1002.99</v>
      </c>
    </row>
    <row r="67" spans="1:11" x14ac:dyDescent="0.25">
      <c r="A67">
        <v>10515</v>
      </c>
      <c r="B67" s="63">
        <v>44885</v>
      </c>
      <c r="C67" t="s">
        <v>15</v>
      </c>
      <c r="D67">
        <v>12.99</v>
      </c>
      <c r="E67" t="s">
        <v>22</v>
      </c>
      <c r="F67" t="s">
        <v>23</v>
      </c>
      <c r="G67" t="s">
        <v>21</v>
      </c>
      <c r="H67">
        <v>478</v>
      </c>
      <c r="I67" t="e" vm="5">
        <v>#VALUE!</v>
      </c>
      <c r="J67" t="e" vm="6">
        <v>#VALUE!</v>
      </c>
      <c r="K67">
        <v>6209.22</v>
      </c>
    </row>
    <row r="68" spans="1:11" x14ac:dyDescent="0.25">
      <c r="A68">
        <v>10516</v>
      </c>
      <c r="B68" s="63">
        <v>44885</v>
      </c>
      <c r="C68" t="s">
        <v>18</v>
      </c>
      <c r="D68">
        <v>9.9499999999999993</v>
      </c>
      <c r="E68" t="s">
        <v>22</v>
      </c>
      <c r="F68" t="s">
        <v>23</v>
      </c>
      <c r="G68" t="s">
        <v>21</v>
      </c>
      <c r="H68">
        <v>202</v>
      </c>
      <c r="I68" t="e" vm="5">
        <v>#VALUE!</v>
      </c>
      <c r="J68" t="e" vm="6">
        <v>#VALUE!</v>
      </c>
      <c r="K68">
        <v>2009.8999999999999</v>
      </c>
    </row>
    <row r="69" spans="1:11" x14ac:dyDescent="0.25">
      <c r="A69">
        <v>10483</v>
      </c>
      <c r="B69" s="63">
        <v>44878</v>
      </c>
      <c r="C69" t="s">
        <v>12</v>
      </c>
      <c r="D69">
        <v>2.95</v>
      </c>
      <c r="E69" t="s">
        <v>14</v>
      </c>
      <c r="F69" t="s">
        <v>16</v>
      </c>
      <c r="G69" t="s">
        <v>21</v>
      </c>
      <c r="H69">
        <v>678</v>
      </c>
      <c r="I69" t="e" vm="5">
        <v>#VALUE!</v>
      </c>
      <c r="J69" t="e" vm="6">
        <v>#VALUE!</v>
      </c>
      <c r="K69">
        <v>2000.1000000000001</v>
      </c>
    </row>
    <row r="70" spans="1:11" x14ac:dyDescent="0.25">
      <c r="A70">
        <v>10484</v>
      </c>
      <c r="B70" s="63">
        <v>44878</v>
      </c>
      <c r="C70" t="s">
        <v>13</v>
      </c>
      <c r="D70">
        <v>4.99</v>
      </c>
      <c r="E70" t="s">
        <v>14</v>
      </c>
      <c r="F70" t="s">
        <v>16</v>
      </c>
      <c r="G70" t="s">
        <v>21</v>
      </c>
      <c r="H70">
        <v>201</v>
      </c>
      <c r="I70" t="e" vm="5">
        <v>#VALUE!</v>
      </c>
      <c r="J70" t="e" vm="6">
        <v>#VALUE!</v>
      </c>
      <c r="K70">
        <v>1002.99</v>
      </c>
    </row>
    <row r="71" spans="1:11" x14ac:dyDescent="0.25">
      <c r="A71">
        <v>10485</v>
      </c>
      <c r="B71" s="63">
        <v>44879</v>
      </c>
      <c r="C71" t="s">
        <v>15</v>
      </c>
      <c r="D71">
        <v>12.99</v>
      </c>
      <c r="E71" t="s">
        <v>14</v>
      </c>
      <c r="F71" t="s">
        <v>16</v>
      </c>
      <c r="G71" t="s">
        <v>21</v>
      </c>
      <c r="H71">
        <v>524</v>
      </c>
      <c r="I71" t="e" vm="5">
        <v>#VALUE!</v>
      </c>
      <c r="J71" t="e" vm="6">
        <v>#VALUE!</v>
      </c>
      <c r="K71">
        <v>6806.76</v>
      </c>
    </row>
    <row r="72" spans="1:11" x14ac:dyDescent="0.25">
      <c r="A72">
        <v>10520</v>
      </c>
      <c r="B72" s="63">
        <v>44886</v>
      </c>
      <c r="C72" t="s">
        <v>15</v>
      </c>
      <c r="D72">
        <v>12.99</v>
      </c>
      <c r="E72" t="s">
        <v>22</v>
      </c>
      <c r="F72" t="s">
        <v>23</v>
      </c>
      <c r="G72" t="s">
        <v>19</v>
      </c>
      <c r="H72">
        <v>493</v>
      </c>
      <c r="I72" t="e" vm="9">
        <v>#VALUE!</v>
      </c>
      <c r="J72" t="e" vm="10">
        <v>#VALUE!</v>
      </c>
      <c r="K72">
        <v>6404.07</v>
      </c>
    </row>
    <row r="73" spans="1:11" x14ac:dyDescent="0.25">
      <c r="A73">
        <v>10521</v>
      </c>
      <c r="B73" s="63">
        <v>44886</v>
      </c>
      <c r="C73" t="s">
        <v>18</v>
      </c>
      <c r="D73">
        <v>9.9499999999999993</v>
      </c>
      <c r="E73" t="s">
        <v>22</v>
      </c>
      <c r="F73" t="s">
        <v>23</v>
      </c>
      <c r="G73" t="s">
        <v>19</v>
      </c>
      <c r="H73">
        <v>202</v>
      </c>
      <c r="I73" t="e" vm="9">
        <v>#VALUE!</v>
      </c>
      <c r="J73" t="e" vm="10">
        <v>#VALUE!</v>
      </c>
      <c r="K73">
        <v>2009.8999999999999</v>
      </c>
    </row>
    <row r="74" spans="1:11" x14ac:dyDescent="0.25">
      <c r="A74">
        <v>10522</v>
      </c>
      <c r="B74" s="63">
        <v>44886</v>
      </c>
      <c r="C74" t="s">
        <v>9</v>
      </c>
      <c r="D74">
        <v>3.49</v>
      </c>
      <c r="E74" t="s">
        <v>22</v>
      </c>
      <c r="F74" t="s">
        <v>23</v>
      </c>
      <c r="G74" t="s">
        <v>19</v>
      </c>
      <c r="H74">
        <v>688</v>
      </c>
      <c r="I74" t="e" vm="9">
        <v>#VALUE!</v>
      </c>
      <c r="J74" t="e" vm="10">
        <v>#VALUE!</v>
      </c>
      <c r="K74">
        <v>2401.1200000000003</v>
      </c>
    </row>
    <row r="75" spans="1:11" x14ac:dyDescent="0.25">
      <c r="A75">
        <v>10523</v>
      </c>
      <c r="B75" s="63">
        <v>44886</v>
      </c>
      <c r="C75" t="s">
        <v>12</v>
      </c>
      <c r="D75">
        <v>2.95</v>
      </c>
      <c r="E75" t="s">
        <v>22</v>
      </c>
      <c r="F75" t="s">
        <v>23</v>
      </c>
      <c r="G75" t="s">
        <v>19</v>
      </c>
      <c r="H75">
        <v>746</v>
      </c>
      <c r="I75" t="e" vm="9">
        <v>#VALUE!</v>
      </c>
      <c r="J75" t="e" vm="10">
        <v>#VALUE!</v>
      </c>
      <c r="K75">
        <v>2200.7000000000003</v>
      </c>
    </row>
    <row r="76" spans="1:11" x14ac:dyDescent="0.25">
      <c r="A76">
        <v>10524</v>
      </c>
      <c r="B76" s="63">
        <v>44886</v>
      </c>
      <c r="C76" t="s">
        <v>13</v>
      </c>
      <c r="D76">
        <v>4.99</v>
      </c>
      <c r="E76" t="s">
        <v>22</v>
      </c>
      <c r="F76" t="s">
        <v>23</v>
      </c>
      <c r="G76" t="s">
        <v>19</v>
      </c>
      <c r="H76">
        <v>201</v>
      </c>
      <c r="I76" t="e" vm="9">
        <v>#VALUE!</v>
      </c>
      <c r="J76" t="e" vm="10">
        <v>#VALUE!</v>
      </c>
      <c r="K76">
        <v>1002.99</v>
      </c>
    </row>
    <row r="77" spans="1:11" x14ac:dyDescent="0.25">
      <c r="A77">
        <v>10525</v>
      </c>
      <c r="B77" s="63">
        <v>44887</v>
      </c>
      <c r="C77" t="s">
        <v>15</v>
      </c>
      <c r="D77">
        <v>12.99</v>
      </c>
      <c r="E77" t="s">
        <v>22</v>
      </c>
      <c r="F77" t="s">
        <v>23</v>
      </c>
      <c r="G77" t="s">
        <v>19</v>
      </c>
      <c r="H77">
        <v>462</v>
      </c>
      <c r="I77" t="e" vm="9">
        <v>#VALUE!</v>
      </c>
      <c r="J77" t="e" vm="10">
        <v>#VALUE!</v>
      </c>
      <c r="K77">
        <v>6001.38</v>
      </c>
    </row>
    <row r="78" spans="1:11" x14ac:dyDescent="0.25">
      <c r="A78">
        <v>10526</v>
      </c>
      <c r="B78" s="63">
        <v>44887</v>
      </c>
      <c r="C78" t="s">
        <v>18</v>
      </c>
      <c r="D78">
        <v>9.9499999999999993</v>
      </c>
      <c r="E78" t="s">
        <v>22</v>
      </c>
      <c r="F78" t="s">
        <v>23</v>
      </c>
      <c r="G78" t="s">
        <v>19</v>
      </c>
      <c r="H78">
        <v>202</v>
      </c>
      <c r="I78" t="e" vm="9">
        <v>#VALUE!</v>
      </c>
      <c r="J78" t="e" vm="10">
        <v>#VALUE!</v>
      </c>
      <c r="K78">
        <v>2009.8999999999999</v>
      </c>
    </row>
    <row r="79" spans="1:11" x14ac:dyDescent="0.25">
      <c r="A79">
        <v>10527</v>
      </c>
      <c r="B79" s="63">
        <v>44887</v>
      </c>
      <c r="C79" t="s">
        <v>9</v>
      </c>
      <c r="D79">
        <v>3.49</v>
      </c>
      <c r="E79" t="s">
        <v>22</v>
      </c>
      <c r="F79" t="s">
        <v>23</v>
      </c>
      <c r="G79" t="s">
        <v>19</v>
      </c>
      <c r="H79">
        <v>688</v>
      </c>
      <c r="I79" t="e" vm="9">
        <v>#VALUE!</v>
      </c>
      <c r="J79" t="e" vm="10">
        <v>#VALUE!</v>
      </c>
      <c r="K79">
        <v>2401.1200000000003</v>
      </c>
    </row>
    <row r="80" spans="1:11" x14ac:dyDescent="0.25">
      <c r="A80">
        <v>10528</v>
      </c>
      <c r="B80" s="63">
        <v>44887</v>
      </c>
      <c r="C80" t="s">
        <v>12</v>
      </c>
      <c r="D80">
        <v>2.95</v>
      </c>
      <c r="E80" t="s">
        <v>22</v>
      </c>
      <c r="F80" t="s">
        <v>23</v>
      </c>
      <c r="G80" t="s">
        <v>19</v>
      </c>
      <c r="H80">
        <v>746</v>
      </c>
      <c r="I80" t="e" vm="9">
        <v>#VALUE!</v>
      </c>
      <c r="J80" t="e" vm="10">
        <v>#VALUE!</v>
      </c>
      <c r="K80">
        <v>2200.7000000000003</v>
      </c>
    </row>
    <row r="81" spans="1:11" x14ac:dyDescent="0.25">
      <c r="A81">
        <v>10529</v>
      </c>
      <c r="B81" s="63">
        <v>44887</v>
      </c>
      <c r="C81" t="s">
        <v>13</v>
      </c>
      <c r="D81">
        <v>4.99</v>
      </c>
      <c r="E81" t="s">
        <v>22</v>
      </c>
      <c r="F81" t="s">
        <v>23</v>
      </c>
      <c r="G81" t="s">
        <v>19</v>
      </c>
      <c r="H81">
        <v>201</v>
      </c>
      <c r="I81" t="e" vm="9">
        <v>#VALUE!</v>
      </c>
      <c r="J81" t="e" vm="10">
        <v>#VALUE!</v>
      </c>
      <c r="K81">
        <v>1002.99</v>
      </c>
    </row>
    <row r="82" spans="1:11" x14ac:dyDescent="0.25">
      <c r="A82">
        <v>10530</v>
      </c>
      <c r="B82" s="63">
        <v>44888</v>
      </c>
      <c r="C82" t="s">
        <v>15</v>
      </c>
      <c r="D82">
        <v>12.99</v>
      </c>
      <c r="E82" t="s">
        <v>22</v>
      </c>
      <c r="F82" t="s">
        <v>23</v>
      </c>
      <c r="G82" t="s">
        <v>19</v>
      </c>
      <c r="H82">
        <v>478</v>
      </c>
      <c r="I82" t="e" vm="9">
        <v>#VALUE!</v>
      </c>
      <c r="J82" t="e" vm="10">
        <v>#VALUE!</v>
      </c>
      <c r="K82">
        <v>6209.22</v>
      </c>
    </row>
    <row r="83" spans="1:11" x14ac:dyDescent="0.25">
      <c r="A83">
        <v>10531</v>
      </c>
      <c r="B83" s="63">
        <v>44888</v>
      </c>
      <c r="C83" t="s">
        <v>18</v>
      </c>
      <c r="D83">
        <v>9.9499999999999993</v>
      </c>
      <c r="E83" t="s">
        <v>22</v>
      </c>
      <c r="F83" t="s">
        <v>23</v>
      </c>
      <c r="G83" t="s">
        <v>19</v>
      </c>
      <c r="H83">
        <v>202</v>
      </c>
      <c r="I83" t="e" vm="9">
        <v>#VALUE!</v>
      </c>
      <c r="J83" t="e" vm="10">
        <v>#VALUE!</v>
      </c>
      <c r="K83">
        <v>2009.8999999999999</v>
      </c>
    </row>
    <row r="84" spans="1:11" x14ac:dyDescent="0.25">
      <c r="A84">
        <v>10532</v>
      </c>
      <c r="B84" s="63">
        <v>44888</v>
      </c>
      <c r="C84" t="s">
        <v>9</v>
      </c>
      <c r="D84">
        <v>3.49</v>
      </c>
      <c r="E84" t="s">
        <v>22</v>
      </c>
      <c r="F84" t="s">
        <v>23</v>
      </c>
      <c r="G84" t="s">
        <v>21</v>
      </c>
      <c r="H84">
        <v>688</v>
      </c>
      <c r="I84" t="e" vm="5">
        <v>#VALUE!</v>
      </c>
      <c r="J84" t="e" vm="6">
        <v>#VALUE!</v>
      </c>
      <c r="K84">
        <v>2401.1200000000003</v>
      </c>
    </row>
    <row r="85" spans="1:11" x14ac:dyDescent="0.25">
      <c r="A85">
        <v>10533</v>
      </c>
      <c r="B85" s="63">
        <v>44888</v>
      </c>
      <c r="C85" t="s">
        <v>12</v>
      </c>
      <c r="D85">
        <v>2.95</v>
      </c>
      <c r="E85" t="s">
        <v>22</v>
      </c>
      <c r="F85" t="s">
        <v>23</v>
      </c>
      <c r="G85" t="s">
        <v>21</v>
      </c>
      <c r="H85">
        <v>746</v>
      </c>
      <c r="I85" t="e" vm="5">
        <v>#VALUE!</v>
      </c>
      <c r="J85" t="e" vm="6">
        <v>#VALUE!</v>
      </c>
      <c r="K85">
        <v>2200.7000000000003</v>
      </c>
    </row>
    <row r="86" spans="1:11" x14ac:dyDescent="0.25">
      <c r="A86">
        <v>10534</v>
      </c>
      <c r="B86" s="63">
        <v>44888</v>
      </c>
      <c r="C86" t="s">
        <v>13</v>
      </c>
      <c r="D86">
        <v>4.99</v>
      </c>
      <c r="E86" t="s">
        <v>22</v>
      </c>
      <c r="F86" t="s">
        <v>23</v>
      </c>
      <c r="G86" t="s">
        <v>20</v>
      </c>
      <c r="H86">
        <v>201</v>
      </c>
      <c r="I86" t="e" vm="3">
        <v>#VALUE!</v>
      </c>
      <c r="J86" t="e" vm="4">
        <v>#VALUE!</v>
      </c>
      <c r="K86">
        <v>1002.99</v>
      </c>
    </row>
    <row r="87" spans="1:11" x14ac:dyDescent="0.25">
      <c r="A87">
        <v>10535</v>
      </c>
      <c r="B87" s="63">
        <v>44889</v>
      </c>
      <c r="C87" t="s">
        <v>15</v>
      </c>
      <c r="D87">
        <v>12.99</v>
      </c>
      <c r="E87" t="s">
        <v>22</v>
      </c>
      <c r="F87" t="s">
        <v>16</v>
      </c>
      <c r="G87" t="s">
        <v>20</v>
      </c>
      <c r="H87">
        <v>478</v>
      </c>
      <c r="I87" t="e" vm="3">
        <v>#VALUE!</v>
      </c>
      <c r="J87" t="e" vm="4">
        <v>#VALUE!</v>
      </c>
      <c r="K87">
        <v>6209.22</v>
      </c>
    </row>
    <row r="88" spans="1:11" x14ac:dyDescent="0.25">
      <c r="A88">
        <v>10536</v>
      </c>
      <c r="B88" s="63">
        <v>44889</v>
      </c>
      <c r="C88" t="s">
        <v>18</v>
      </c>
      <c r="D88">
        <v>9.9499999999999993</v>
      </c>
      <c r="E88" t="s">
        <v>22</v>
      </c>
      <c r="F88" t="s">
        <v>16</v>
      </c>
      <c r="G88" t="s">
        <v>20</v>
      </c>
      <c r="H88">
        <v>202</v>
      </c>
      <c r="I88" t="e" vm="3">
        <v>#VALUE!</v>
      </c>
      <c r="J88" t="e" vm="4">
        <v>#VALUE!</v>
      </c>
      <c r="K88">
        <v>2009.8999999999999</v>
      </c>
    </row>
    <row r="89" spans="1:11" x14ac:dyDescent="0.25">
      <c r="A89">
        <v>10537</v>
      </c>
      <c r="B89" s="63">
        <v>44889</v>
      </c>
      <c r="C89" t="s">
        <v>9</v>
      </c>
      <c r="D89">
        <v>3.49</v>
      </c>
      <c r="E89" t="s">
        <v>22</v>
      </c>
      <c r="F89" t="s">
        <v>16</v>
      </c>
      <c r="G89" t="s">
        <v>20</v>
      </c>
      <c r="H89">
        <v>631</v>
      </c>
      <c r="I89" t="e" vm="3">
        <v>#VALUE!</v>
      </c>
      <c r="J89" t="e" vm="4">
        <v>#VALUE!</v>
      </c>
      <c r="K89">
        <v>2202.19</v>
      </c>
    </row>
    <row r="90" spans="1:11" x14ac:dyDescent="0.25">
      <c r="A90">
        <v>10538</v>
      </c>
      <c r="B90" s="63">
        <v>44889</v>
      </c>
      <c r="C90" t="s">
        <v>12</v>
      </c>
      <c r="D90">
        <v>2.95</v>
      </c>
      <c r="E90" t="s">
        <v>22</v>
      </c>
      <c r="F90" t="s">
        <v>16</v>
      </c>
      <c r="G90" t="s">
        <v>20</v>
      </c>
      <c r="H90">
        <v>746</v>
      </c>
      <c r="I90" t="e" vm="3">
        <v>#VALUE!</v>
      </c>
      <c r="J90" t="e" vm="4">
        <v>#VALUE!</v>
      </c>
      <c r="K90">
        <v>2200.7000000000003</v>
      </c>
    </row>
    <row r="91" spans="1:11" x14ac:dyDescent="0.25">
      <c r="A91">
        <v>10539</v>
      </c>
      <c r="B91" s="63">
        <v>44889</v>
      </c>
      <c r="C91" t="s">
        <v>13</v>
      </c>
      <c r="D91">
        <v>4.99</v>
      </c>
      <c r="E91" t="s">
        <v>22</v>
      </c>
      <c r="F91" t="s">
        <v>16</v>
      </c>
      <c r="G91" t="s">
        <v>20</v>
      </c>
      <c r="H91">
        <v>201</v>
      </c>
      <c r="I91" t="e" vm="3">
        <v>#VALUE!</v>
      </c>
      <c r="J91" t="e" vm="4">
        <v>#VALUE!</v>
      </c>
      <c r="K91">
        <v>1002.99</v>
      </c>
    </row>
    <row r="92" spans="1:11" x14ac:dyDescent="0.25">
      <c r="A92">
        <v>10540</v>
      </c>
      <c r="B92" s="63">
        <v>44890</v>
      </c>
      <c r="C92" t="s">
        <v>15</v>
      </c>
      <c r="D92">
        <v>12.99</v>
      </c>
      <c r="E92" t="s">
        <v>22</v>
      </c>
      <c r="F92" t="s">
        <v>16</v>
      </c>
      <c r="G92" t="s">
        <v>20</v>
      </c>
      <c r="H92">
        <v>462</v>
      </c>
      <c r="I92" t="e" vm="3">
        <v>#VALUE!</v>
      </c>
      <c r="J92" t="e" vm="4">
        <v>#VALUE!</v>
      </c>
      <c r="K92">
        <v>6001.38</v>
      </c>
    </row>
    <row r="93" spans="1:11" x14ac:dyDescent="0.25">
      <c r="A93">
        <v>10541</v>
      </c>
      <c r="B93" s="63">
        <v>44890</v>
      </c>
      <c r="C93" t="s">
        <v>18</v>
      </c>
      <c r="D93">
        <v>9.9499999999999993</v>
      </c>
      <c r="E93" t="s">
        <v>22</v>
      </c>
      <c r="F93" t="s">
        <v>16</v>
      </c>
      <c r="G93" t="s">
        <v>24</v>
      </c>
      <c r="H93">
        <v>202</v>
      </c>
      <c r="I93" t="e" vm="1">
        <v>#VALUE!</v>
      </c>
      <c r="J93" t="e" vm="11">
        <v>#VALUE!</v>
      </c>
      <c r="K93">
        <v>2009.8999999999999</v>
      </c>
    </row>
    <row r="94" spans="1:11" x14ac:dyDescent="0.25">
      <c r="A94">
        <v>10542</v>
      </c>
      <c r="B94" s="63">
        <v>44890</v>
      </c>
      <c r="C94" t="s">
        <v>9</v>
      </c>
      <c r="D94">
        <v>3.49</v>
      </c>
      <c r="E94" t="s">
        <v>22</v>
      </c>
      <c r="F94" t="s">
        <v>16</v>
      </c>
      <c r="G94" t="s">
        <v>24</v>
      </c>
      <c r="H94">
        <v>631</v>
      </c>
      <c r="I94" t="e" vm="1">
        <v>#VALUE!</v>
      </c>
      <c r="J94" t="e" vm="11">
        <v>#VALUE!</v>
      </c>
      <c r="K94">
        <v>2202.19</v>
      </c>
    </row>
    <row r="95" spans="1:11" x14ac:dyDescent="0.25">
      <c r="A95">
        <v>10543</v>
      </c>
      <c r="B95" s="63">
        <v>44890</v>
      </c>
      <c r="C95" t="s">
        <v>12</v>
      </c>
      <c r="D95">
        <v>2.95</v>
      </c>
      <c r="E95" t="s">
        <v>22</v>
      </c>
      <c r="F95" t="s">
        <v>16</v>
      </c>
      <c r="G95" t="s">
        <v>24</v>
      </c>
      <c r="H95">
        <v>746</v>
      </c>
      <c r="I95" t="e" vm="1">
        <v>#VALUE!</v>
      </c>
      <c r="J95" t="e" vm="11">
        <v>#VALUE!</v>
      </c>
      <c r="K95">
        <v>2200.7000000000003</v>
      </c>
    </row>
    <row r="96" spans="1:11" x14ac:dyDescent="0.25">
      <c r="A96">
        <v>10544</v>
      </c>
      <c r="B96" s="63">
        <v>44890</v>
      </c>
      <c r="C96" t="s">
        <v>13</v>
      </c>
      <c r="D96">
        <v>4.99</v>
      </c>
      <c r="E96" t="s">
        <v>22</v>
      </c>
      <c r="F96" t="s">
        <v>16</v>
      </c>
      <c r="G96" t="s">
        <v>24</v>
      </c>
      <c r="H96">
        <v>201</v>
      </c>
      <c r="I96" t="e" vm="1">
        <v>#VALUE!</v>
      </c>
      <c r="J96" t="e" vm="11">
        <v>#VALUE!</v>
      </c>
      <c r="K96">
        <v>1002.99</v>
      </c>
    </row>
    <row r="97" spans="1:11" x14ac:dyDescent="0.25">
      <c r="A97">
        <v>10545</v>
      </c>
      <c r="B97" s="63">
        <v>44891</v>
      </c>
      <c r="C97" t="s">
        <v>15</v>
      </c>
      <c r="D97">
        <v>12.99</v>
      </c>
      <c r="E97" t="s">
        <v>22</v>
      </c>
      <c r="F97" t="s">
        <v>16</v>
      </c>
      <c r="G97" t="s">
        <v>24</v>
      </c>
      <c r="H97">
        <v>447</v>
      </c>
      <c r="I97" t="e" vm="1">
        <v>#VALUE!</v>
      </c>
      <c r="J97" t="e" vm="11">
        <v>#VALUE!</v>
      </c>
      <c r="K97">
        <v>5806.53</v>
      </c>
    </row>
    <row r="98" spans="1:11" x14ac:dyDescent="0.25">
      <c r="A98">
        <v>10546</v>
      </c>
      <c r="B98" s="63">
        <v>44891</v>
      </c>
      <c r="C98" t="s">
        <v>18</v>
      </c>
      <c r="D98">
        <v>9.9499999999999993</v>
      </c>
      <c r="E98" t="s">
        <v>22</v>
      </c>
      <c r="F98" t="s">
        <v>16</v>
      </c>
      <c r="G98" t="s">
        <v>24</v>
      </c>
      <c r="H98">
        <v>202</v>
      </c>
      <c r="I98" t="e" vm="1">
        <v>#VALUE!</v>
      </c>
      <c r="J98" t="e" vm="11">
        <v>#VALUE!</v>
      </c>
      <c r="K98">
        <v>2009.8999999999999</v>
      </c>
    </row>
    <row r="99" spans="1:11" x14ac:dyDescent="0.25">
      <c r="A99">
        <v>10547</v>
      </c>
      <c r="B99" s="63">
        <v>44891</v>
      </c>
      <c r="C99" t="s">
        <v>9</v>
      </c>
      <c r="D99">
        <v>3.49</v>
      </c>
      <c r="E99" t="s">
        <v>22</v>
      </c>
      <c r="F99" t="s">
        <v>16</v>
      </c>
      <c r="G99" t="s">
        <v>24</v>
      </c>
      <c r="H99">
        <v>631</v>
      </c>
      <c r="I99" t="e" vm="1">
        <v>#VALUE!</v>
      </c>
      <c r="J99" t="e" vm="11">
        <v>#VALUE!</v>
      </c>
      <c r="K99">
        <v>2202.19</v>
      </c>
    </row>
    <row r="100" spans="1:11" x14ac:dyDescent="0.25">
      <c r="A100">
        <v>10548</v>
      </c>
      <c r="B100" s="63">
        <v>44891</v>
      </c>
      <c r="C100" t="s">
        <v>12</v>
      </c>
      <c r="D100">
        <v>2.95</v>
      </c>
      <c r="E100" t="s">
        <v>22</v>
      </c>
      <c r="F100" t="s">
        <v>16</v>
      </c>
      <c r="G100" t="s">
        <v>24</v>
      </c>
      <c r="H100">
        <v>746</v>
      </c>
      <c r="I100" t="e" vm="1">
        <v>#VALUE!</v>
      </c>
      <c r="J100" t="e" vm="11">
        <v>#VALUE!</v>
      </c>
      <c r="K100">
        <v>2200.7000000000003</v>
      </c>
    </row>
    <row r="101" spans="1:11" x14ac:dyDescent="0.25">
      <c r="A101">
        <v>10549</v>
      </c>
      <c r="B101" s="63">
        <v>44891</v>
      </c>
      <c r="C101" t="s">
        <v>13</v>
      </c>
      <c r="D101">
        <v>4.99</v>
      </c>
      <c r="E101" t="s">
        <v>22</v>
      </c>
      <c r="F101" t="s">
        <v>16</v>
      </c>
      <c r="G101" t="s">
        <v>24</v>
      </c>
      <c r="H101">
        <v>201</v>
      </c>
      <c r="I101" t="e" vm="1">
        <v>#VALUE!</v>
      </c>
      <c r="J101" t="e" vm="11">
        <v>#VALUE!</v>
      </c>
      <c r="K101">
        <v>1002.99</v>
      </c>
    </row>
    <row r="102" spans="1:11" x14ac:dyDescent="0.25">
      <c r="A102">
        <v>10550</v>
      </c>
      <c r="B102" s="63">
        <v>44892</v>
      </c>
      <c r="C102" t="s">
        <v>15</v>
      </c>
      <c r="D102">
        <v>12.99</v>
      </c>
      <c r="E102" t="s">
        <v>22</v>
      </c>
      <c r="F102" t="s">
        <v>16</v>
      </c>
      <c r="G102" t="s">
        <v>24</v>
      </c>
      <c r="H102">
        <v>462</v>
      </c>
      <c r="I102" t="e" vm="1">
        <v>#VALUE!</v>
      </c>
      <c r="J102" t="e" vm="11">
        <v>#VALUE!</v>
      </c>
      <c r="K102">
        <v>6001.38</v>
      </c>
    </row>
    <row r="103" spans="1:11" x14ac:dyDescent="0.25">
      <c r="A103">
        <v>10551</v>
      </c>
      <c r="B103" s="63">
        <v>44892</v>
      </c>
      <c r="C103" t="s">
        <v>18</v>
      </c>
      <c r="D103">
        <v>9.9499999999999993</v>
      </c>
      <c r="E103" t="s">
        <v>22</v>
      </c>
      <c r="F103" t="s">
        <v>16</v>
      </c>
      <c r="G103" t="s">
        <v>24</v>
      </c>
      <c r="H103">
        <v>202</v>
      </c>
      <c r="I103" t="e" vm="1">
        <v>#VALUE!</v>
      </c>
      <c r="J103" t="e" vm="11">
        <v>#VALUE!</v>
      </c>
      <c r="K103">
        <v>2009.8999999999999</v>
      </c>
    </row>
    <row r="104" spans="1:11" x14ac:dyDescent="0.25">
      <c r="A104">
        <v>10552</v>
      </c>
      <c r="B104" s="63">
        <v>44892</v>
      </c>
      <c r="C104" t="s">
        <v>9</v>
      </c>
      <c r="D104">
        <v>3.49</v>
      </c>
      <c r="E104" t="s">
        <v>10</v>
      </c>
      <c r="F104" t="s">
        <v>16</v>
      </c>
      <c r="G104" t="s">
        <v>24</v>
      </c>
      <c r="H104">
        <v>631</v>
      </c>
      <c r="I104" t="e" vm="1">
        <v>#VALUE!</v>
      </c>
      <c r="J104" t="e" vm="11">
        <v>#VALUE!</v>
      </c>
      <c r="K104">
        <v>2202.19</v>
      </c>
    </row>
    <row r="105" spans="1:11" x14ac:dyDescent="0.25">
      <c r="A105">
        <v>10553</v>
      </c>
      <c r="B105" s="63">
        <v>44892</v>
      </c>
      <c r="C105" t="s">
        <v>12</v>
      </c>
      <c r="D105">
        <v>2.95</v>
      </c>
      <c r="E105" t="s">
        <v>10</v>
      </c>
      <c r="F105" t="s">
        <v>16</v>
      </c>
      <c r="G105" t="s">
        <v>24</v>
      </c>
      <c r="H105">
        <v>746</v>
      </c>
      <c r="I105" t="e" vm="1">
        <v>#VALUE!</v>
      </c>
      <c r="J105" t="e" vm="11">
        <v>#VALUE!</v>
      </c>
      <c r="K105">
        <v>2200.7000000000003</v>
      </c>
    </row>
    <row r="106" spans="1:11" x14ac:dyDescent="0.25">
      <c r="A106">
        <v>10554</v>
      </c>
      <c r="B106" s="63">
        <v>44892</v>
      </c>
      <c r="C106" t="s">
        <v>13</v>
      </c>
      <c r="D106">
        <v>4.99</v>
      </c>
      <c r="E106" t="s">
        <v>10</v>
      </c>
      <c r="F106" t="s">
        <v>16</v>
      </c>
      <c r="G106" t="s">
        <v>24</v>
      </c>
      <c r="H106">
        <v>201</v>
      </c>
      <c r="I106" t="e" vm="1">
        <v>#VALUE!</v>
      </c>
      <c r="J106" t="e" vm="11">
        <v>#VALUE!</v>
      </c>
      <c r="K106">
        <v>1002.99</v>
      </c>
    </row>
    <row r="107" spans="1:11" x14ac:dyDescent="0.25">
      <c r="A107">
        <v>10555</v>
      </c>
      <c r="B107" s="63">
        <v>44893</v>
      </c>
      <c r="C107" t="s">
        <v>15</v>
      </c>
      <c r="D107">
        <v>12.99</v>
      </c>
      <c r="E107" t="s">
        <v>10</v>
      </c>
      <c r="F107" t="s">
        <v>16</v>
      </c>
      <c r="G107" t="s">
        <v>24</v>
      </c>
      <c r="H107">
        <v>478</v>
      </c>
      <c r="I107" t="e" vm="1">
        <v>#VALUE!</v>
      </c>
      <c r="J107" t="e" vm="11">
        <v>#VALUE!</v>
      </c>
      <c r="K107">
        <v>6209.22</v>
      </c>
    </row>
    <row r="108" spans="1:11" x14ac:dyDescent="0.25">
      <c r="A108">
        <v>10556</v>
      </c>
      <c r="B108" s="63">
        <v>44893</v>
      </c>
      <c r="C108" t="s">
        <v>18</v>
      </c>
      <c r="D108">
        <v>9.9499999999999993</v>
      </c>
      <c r="E108" t="s">
        <v>10</v>
      </c>
      <c r="F108" t="s">
        <v>16</v>
      </c>
      <c r="G108" t="s">
        <v>24</v>
      </c>
      <c r="H108">
        <v>202</v>
      </c>
      <c r="I108" t="e" vm="1">
        <v>#VALUE!</v>
      </c>
      <c r="J108" t="e" vm="11">
        <v>#VALUE!</v>
      </c>
      <c r="K108">
        <v>2009.8999999999999</v>
      </c>
    </row>
    <row r="109" spans="1:11" x14ac:dyDescent="0.25">
      <c r="A109">
        <v>10557</v>
      </c>
      <c r="B109" s="63">
        <v>44893</v>
      </c>
      <c r="C109" t="s">
        <v>9</v>
      </c>
      <c r="D109">
        <v>3.49</v>
      </c>
      <c r="E109" t="s">
        <v>10</v>
      </c>
      <c r="F109" t="s">
        <v>16</v>
      </c>
      <c r="G109" t="s">
        <v>24</v>
      </c>
      <c r="H109">
        <v>631</v>
      </c>
      <c r="I109" t="e" vm="1">
        <v>#VALUE!</v>
      </c>
      <c r="J109" t="e" vm="11">
        <v>#VALUE!</v>
      </c>
      <c r="K109">
        <v>2202.19</v>
      </c>
    </row>
    <row r="110" spans="1:11" x14ac:dyDescent="0.25">
      <c r="A110">
        <v>10558</v>
      </c>
      <c r="B110" s="63">
        <v>44893</v>
      </c>
      <c r="C110" t="s">
        <v>12</v>
      </c>
      <c r="D110">
        <v>2.95</v>
      </c>
      <c r="E110" t="s">
        <v>10</v>
      </c>
      <c r="F110" t="s">
        <v>16</v>
      </c>
      <c r="G110" t="s">
        <v>24</v>
      </c>
      <c r="H110">
        <v>678</v>
      </c>
      <c r="I110" t="e" vm="1">
        <v>#VALUE!</v>
      </c>
      <c r="J110" t="e" vm="11">
        <v>#VALUE!</v>
      </c>
      <c r="K110">
        <v>2000.1000000000001</v>
      </c>
    </row>
    <row r="111" spans="1:11" x14ac:dyDescent="0.25">
      <c r="A111">
        <v>10559</v>
      </c>
      <c r="B111" s="63">
        <v>44893</v>
      </c>
      <c r="C111" t="s">
        <v>13</v>
      </c>
      <c r="D111">
        <v>4.99</v>
      </c>
      <c r="E111" t="s">
        <v>10</v>
      </c>
      <c r="F111" t="s">
        <v>16</v>
      </c>
      <c r="G111" t="s">
        <v>24</v>
      </c>
      <c r="H111">
        <v>201</v>
      </c>
      <c r="I111" t="e" vm="1">
        <v>#VALUE!</v>
      </c>
      <c r="J111" t="e" vm="11">
        <v>#VALUE!</v>
      </c>
      <c r="K111">
        <v>1002.99</v>
      </c>
    </row>
    <row r="112" spans="1:11" x14ac:dyDescent="0.25">
      <c r="A112">
        <v>10560</v>
      </c>
      <c r="B112" s="63">
        <v>44894</v>
      </c>
      <c r="C112" t="s">
        <v>15</v>
      </c>
      <c r="D112">
        <v>12.99</v>
      </c>
      <c r="E112" t="s">
        <v>10</v>
      </c>
      <c r="F112" t="s">
        <v>16</v>
      </c>
      <c r="G112" t="s">
        <v>24</v>
      </c>
      <c r="H112">
        <v>478</v>
      </c>
      <c r="I112" t="e" vm="1">
        <v>#VALUE!</v>
      </c>
      <c r="J112" t="e" vm="11">
        <v>#VALUE!</v>
      </c>
      <c r="K112">
        <v>6209.22</v>
      </c>
    </row>
    <row r="113" spans="1:11" x14ac:dyDescent="0.25">
      <c r="A113">
        <v>10561</v>
      </c>
      <c r="B113" s="63">
        <v>44894</v>
      </c>
      <c r="C113" t="s">
        <v>18</v>
      </c>
      <c r="D113">
        <v>9.9499999999999993</v>
      </c>
      <c r="E113" t="s">
        <v>10</v>
      </c>
      <c r="F113" t="s">
        <v>16</v>
      </c>
      <c r="G113" t="s">
        <v>24</v>
      </c>
      <c r="H113">
        <v>202</v>
      </c>
      <c r="I113" t="e" vm="1">
        <v>#VALUE!</v>
      </c>
      <c r="J113" t="e" vm="11">
        <v>#VALUE!</v>
      </c>
      <c r="K113">
        <v>2009.8999999999999</v>
      </c>
    </row>
    <row r="114" spans="1:11" x14ac:dyDescent="0.25">
      <c r="A114">
        <v>10562</v>
      </c>
      <c r="B114" s="63">
        <v>44894</v>
      </c>
      <c r="C114" t="s">
        <v>9</v>
      </c>
      <c r="D114">
        <v>3.49</v>
      </c>
      <c r="E114" t="s">
        <v>10</v>
      </c>
      <c r="F114" t="s">
        <v>16</v>
      </c>
      <c r="G114" t="s">
        <v>24</v>
      </c>
      <c r="H114">
        <v>631</v>
      </c>
      <c r="I114" t="e" vm="1">
        <v>#VALUE!</v>
      </c>
      <c r="J114" t="e" vm="11">
        <v>#VALUE!</v>
      </c>
      <c r="K114">
        <v>2202.19</v>
      </c>
    </row>
    <row r="115" spans="1:11" x14ac:dyDescent="0.25">
      <c r="A115">
        <v>10563</v>
      </c>
      <c r="B115" s="63">
        <v>44894</v>
      </c>
      <c r="C115" t="s">
        <v>12</v>
      </c>
      <c r="D115">
        <v>2.95</v>
      </c>
      <c r="E115" t="s">
        <v>10</v>
      </c>
      <c r="F115" t="s">
        <v>16</v>
      </c>
      <c r="G115" t="s">
        <v>24</v>
      </c>
      <c r="H115">
        <v>678</v>
      </c>
      <c r="I115" t="e" vm="1">
        <v>#VALUE!</v>
      </c>
      <c r="J115" t="e" vm="11">
        <v>#VALUE!</v>
      </c>
      <c r="K115">
        <v>2000.1000000000001</v>
      </c>
    </row>
    <row r="116" spans="1:11" x14ac:dyDescent="0.25">
      <c r="A116">
        <v>10564</v>
      </c>
      <c r="B116" s="63">
        <v>44894</v>
      </c>
      <c r="C116" t="s">
        <v>13</v>
      </c>
      <c r="D116">
        <v>4.99</v>
      </c>
      <c r="E116" t="s">
        <v>10</v>
      </c>
      <c r="F116" t="s">
        <v>16</v>
      </c>
      <c r="G116" t="s">
        <v>24</v>
      </c>
      <c r="H116">
        <v>201</v>
      </c>
      <c r="I116" t="e" vm="1">
        <v>#VALUE!</v>
      </c>
      <c r="J116" t="e" vm="11">
        <v>#VALUE!</v>
      </c>
      <c r="K116">
        <v>1002.99</v>
      </c>
    </row>
    <row r="117" spans="1:11" x14ac:dyDescent="0.25">
      <c r="A117">
        <v>10565</v>
      </c>
      <c r="B117" s="63">
        <v>44895</v>
      </c>
      <c r="C117" t="s">
        <v>15</v>
      </c>
      <c r="D117">
        <v>12.99</v>
      </c>
      <c r="E117" t="s">
        <v>10</v>
      </c>
      <c r="F117" t="s">
        <v>16</v>
      </c>
      <c r="G117" t="s">
        <v>24</v>
      </c>
      <c r="H117">
        <v>493</v>
      </c>
      <c r="I117" t="e" vm="1">
        <v>#VALUE!</v>
      </c>
      <c r="J117" t="e" vm="11">
        <v>#VALUE!</v>
      </c>
      <c r="K117">
        <v>6404.07</v>
      </c>
    </row>
    <row r="118" spans="1:11" x14ac:dyDescent="0.25">
      <c r="A118">
        <v>10566</v>
      </c>
      <c r="B118" s="63">
        <v>44895</v>
      </c>
      <c r="C118" t="s">
        <v>18</v>
      </c>
      <c r="D118">
        <v>9.9499999999999993</v>
      </c>
      <c r="E118" t="s">
        <v>10</v>
      </c>
      <c r="F118" t="s">
        <v>16</v>
      </c>
      <c r="G118" t="s">
        <v>24</v>
      </c>
      <c r="H118">
        <v>202</v>
      </c>
      <c r="I118" t="e" vm="1">
        <v>#VALUE!</v>
      </c>
      <c r="J118" t="e" vm="11">
        <v>#VALUE!</v>
      </c>
      <c r="K118">
        <v>2009.8999999999999</v>
      </c>
    </row>
    <row r="119" spans="1:11" x14ac:dyDescent="0.25">
      <c r="A119">
        <v>10567</v>
      </c>
      <c r="B119" s="63">
        <v>44895</v>
      </c>
      <c r="C119" t="s">
        <v>9</v>
      </c>
      <c r="D119">
        <v>3.49</v>
      </c>
      <c r="E119" t="s">
        <v>10</v>
      </c>
      <c r="F119" t="s">
        <v>16</v>
      </c>
      <c r="G119" t="s">
        <v>24</v>
      </c>
      <c r="H119">
        <v>631</v>
      </c>
      <c r="I119" t="e" vm="1">
        <v>#VALUE!</v>
      </c>
      <c r="J119" t="e" vm="11">
        <v>#VALUE!</v>
      </c>
      <c r="K119">
        <v>2202.19</v>
      </c>
    </row>
    <row r="120" spans="1:11" x14ac:dyDescent="0.25">
      <c r="A120">
        <v>10568</v>
      </c>
      <c r="B120" s="63">
        <v>44895</v>
      </c>
      <c r="C120" t="s">
        <v>12</v>
      </c>
      <c r="D120">
        <v>2.95</v>
      </c>
      <c r="E120" t="s">
        <v>10</v>
      </c>
      <c r="F120" t="s">
        <v>16</v>
      </c>
      <c r="G120" t="s">
        <v>24</v>
      </c>
      <c r="H120">
        <v>678</v>
      </c>
      <c r="I120" t="e" vm="1">
        <v>#VALUE!</v>
      </c>
      <c r="J120" t="e" vm="11">
        <v>#VALUE!</v>
      </c>
      <c r="K120">
        <v>2000.1000000000001</v>
      </c>
    </row>
    <row r="121" spans="1:11" x14ac:dyDescent="0.25">
      <c r="A121">
        <v>10569</v>
      </c>
      <c r="B121" s="63">
        <v>44895</v>
      </c>
      <c r="C121" t="s">
        <v>13</v>
      </c>
      <c r="D121">
        <v>4.99</v>
      </c>
      <c r="E121" t="s">
        <v>10</v>
      </c>
      <c r="F121" t="s">
        <v>16</v>
      </c>
      <c r="G121" t="s">
        <v>24</v>
      </c>
      <c r="H121">
        <v>201</v>
      </c>
      <c r="I121" t="e" vm="1">
        <v>#VALUE!</v>
      </c>
      <c r="J121" t="e" vm="11">
        <v>#VALUE!</v>
      </c>
      <c r="K121">
        <v>1002.99</v>
      </c>
    </row>
    <row r="122" spans="1:11" x14ac:dyDescent="0.25">
      <c r="A122">
        <v>10570</v>
      </c>
      <c r="B122" s="63">
        <v>44896</v>
      </c>
      <c r="C122" t="s">
        <v>15</v>
      </c>
      <c r="D122">
        <v>12.99</v>
      </c>
      <c r="E122" t="s">
        <v>10</v>
      </c>
      <c r="F122" t="s">
        <v>16</v>
      </c>
      <c r="G122" t="s">
        <v>24</v>
      </c>
      <c r="H122">
        <v>493</v>
      </c>
      <c r="I122" t="e" vm="1">
        <v>#VALUE!</v>
      </c>
      <c r="J122" t="e" vm="11">
        <v>#VALUE!</v>
      </c>
      <c r="K122">
        <v>6404.07</v>
      </c>
    </row>
    <row r="123" spans="1:11" x14ac:dyDescent="0.25">
      <c r="A123">
        <v>10571</v>
      </c>
      <c r="B123" s="63">
        <v>44896</v>
      </c>
      <c r="C123" t="s">
        <v>18</v>
      </c>
      <c r="D123">
        <v>9.9499999999999993</v>
      </c>
      <c r="E123" t="s">
        <v>10</v>
      </c>
      <c r="F123" t="s">
        <v>16</v>
      </c>
      <c r="G123" t="s">
        <v>24</v>
      </c>
      <c r="H123">
        <v>202</v>
      </c>
      <c r="I123" t="e" vm="1">
        <v>#VALUE!</v>
      </c>
      <c r="J123" t="e" vm="11">
        <v>#VALUE!</v>
      </c>
      <c r="K123">
        <v>2009.8999999999999</v>
      </c>
    </row>
    <row r="124" spans="1:11" x14ac:dyDescent="0.25">
      <c r="A124">
        <v>10572</v>
      </c>
      <c r="B124" s="63">
        <v>44896</v>
      </c>
      <c r="C124" t="s">
        <v>9</v>
      </c>
      <c r="D124">
        <v>3.49</v>
      </c>
      <c r="E124" t="s">
        <v>10</v>
      </c>
      <c r="F124" t="s">
        <v>16</v>
      </c>
      <c r="G124" t="s">
        <v>19</v>
      </c>
      <c r="H124">
        <v>574</v>
      </c>
      <c r="I124" t="e" vm="9">
        <v>#VALUE!</v>
      </c>
      <c r="J124" t="e" vm="10">
        <v>#VALUE!</v>
      </c>
      <c r="K124">
        <v>2003.2600000000002</v>
      </c>
    </row>
    <row r="125" spans="1:11" x14ac:dyDescent="0.25">
      <c r="A125">
        <v>10573</v>
      </c>
      <c r="B125" s="63">
        <v>44896</v>
      </c>
      <c r="C125" t="s">
        <v>12</v>
      </c>
      <c r="D125">
        <v>2.95</v>
      </c>
      <c r="E125" t="s">
        <v>10</v>
      </c>
      <c r="F125" t="s">
        <v>16</v>
      </c>
      <c r="G125" t="s">
        <v>19</v>
      </c>
      <c r="H125">
        <v>678</v>
      </c>
      <c r="I125" t="e" vm="9">
        <v>#VALUE!</v>
      </c>
      <c r="J125" t="e" vm="10">
        <v>#VALUE!</v>
      </c>
      <c r="K125">
        <v>2000.1000000000001</v>
      </c>
    </row>
    <row r="126" spans="1:11" x14ac:dyDescent="0.25">
      <c r="A126">
        <v>10574</v>
      </c>
      <c r="B126" s="63">
        <v>44896</v>
      </c>
      <c r="C126" t="s">
        <v>13</v>
      </c>
      <c r="D126">
        <v>4.99</v>
      </c>
      <c r="E126" t="s">
        <v>10</v>
      </c>
      <c r="F126" t="s">
        <v>16</v>
      </c>
      <c r="G126" t="s">
        <v>19</v>
      </c>
      <c r="H126">
        <v>201</v>
      </c>
      <c r="I126" t="e" vm="9">
        <v>#VALUE!</v>
      </c>
      <c r="J126" t="e" vm="10">
        <v>#VALUE!</v>
      </c>
      <c r="K126">
        <v>1002.99</v>
      </c>
    </row>
    <row r="127" spans="1:11" x14ac:dyDescent="0.25">
      <c r="A127">
        <v>10575</v>
      </c>
      <c r="B127" s="63">
        <v>44897</v>
      </c>
      <c r="C127" t="s">
        <v>15</v>
      </c>
      <c r="D127">
        <v>12.99</v>
      </c>
      <c r="E127" t="s">
        <v>10</v>
      </c>
      <c r="F127" t="s">
        <v>16</v>
      </c>
      <c r="G127" t="s">
        <v>19</v>
      </c>
      <c r="H127">
        <v>524</v>
      </c>
      <c r="I127" t="e" vm="9">
        <v>#VALUE!</v>
      </c>
      <c r="J127" t="e" vm="10">
        <v>#VALUE!</v>
      </c>
      <c r="K127">
        <v>6806.76</v>
      </c>
    </row>
    <row r="128" spans="1:11" x14ac:dyDescent="0.25">
      <c r="A128">
        <v>10576</v>
      </c>
      <c r="B128" s="63">
        <v>44897</v>
      </c>
      <c r="C128" t="s">
        <v>18</v>
      </c>
      <c r="D128">
        <v>9.9499999999999993</v>
      </c>
      <c r="E128" t="s">
        <v>10</v>
      </c>
      <c r="F128" t="s">
        <v>16</v>
      </c>
      <c r="G128" t="s">
        <v>19</v>
      </c>
      <c r="H128">
        <v>202</v>
      </c>
      <c r="I128" t="e" vm="9">
        <v>#VALUE!</v>
      </c>
      <c r="J128" t="e" vm="10">
        <v>#VALUE!</v>
      </c>
      <c r="K128">
        <v>2009.8999999999999</v>
      </c>
    </row>
    <row r="129" spans="1:11" x14ac:dyDescent="0.25">
      <c r="A129">
        <v>10577</v>
      </c>
      <c r="B129" s="63">
        <v>44897</v>
      </c>
      <c r="C129" t="s">
        <v>9</v>
      </c>
      <c r="D129">
        <v>3.49</v>
      </c>
      <c r="E129" t="s">
        <v>10</v>
      </c>
      <c r="F129" t="s">
        <v>16</v>
      </c>
      <c r="G129" t="s">
        <v>19</v>
      </c>
      <c r="H129">
        <v>631</v>
      </c>
      <c r="I129" t="e" vm="9">
        <v>#VALUE!</v>
      </c>
      <c r="J129" t="e" vm="10">
        <v>#VALUE!</v>
      </c>
      <c r="K129">
        <v>2202.19</v>
      </c>
    </row>
    <row r="130" spans="1:11" x14ac:dyDescent="0.25">
      <c r="A130">
        <v>10578</v>
      </c>
      <c r="B130" s="63">
        <v>44897</v>
      </c>
      <c r="C130" t="s">
        <v>12</v>
      </c>
      <c r="D130">
        <v>2.95</v>
      </c>
      <c r="E130" t="s">
        <v>10</v>
      </c>
      <c r="F130" t="s">
        <v>16</v>
      </c>
      <c r="G130" t="s">
        <v>19</v>
      </c>
      <c r="H130">
        <v>678</v>
      </c>
      <c r="I130" t="e" vm="9">
        <v>#VALUE!</v>
      </c>
      <c r="J130" t="e" vm="10">
        <v>#VALUE!</v>
      </c>
      <c r="K130">
        <v>2000.1000000000001</v>
      </c>
    </row>
    <row r="131" spans="1:11" x14ac:dyDescent="0.25">
      <c r="A131">
        <v>10579</v>
      </c>
      <c r="B131" s="63">
        <v>44897</v>
      </c>
      <c r="C131" t="s">
        <v>13</v>
      </c>
      <c r="D131">
        <v>4.99</v>
      </c>
      <c r="E131" t="s">
        <v>10</v>
      </c>
      <c r="F131" t="s">
        <v>16</v>
      </c>
      <c r="G131" t="s">
        <v>19</v>
      </c>
      <c r="H131">
        <v>201</v>
      </c>
      <c r="I131" t="e" vm="9">
        <v>#VALUE!</v>
      </c>
      <c r="J131" t="e" vm="10">
        <v>#VALUE!</v>
      </c>
      <c r="K131">
        <v>1002.99</v>
      </c>
    </row>
    <row r="132" spans="1:11" x14ac:dyDescent="0.25">
      <c r="A132">
        <v>10580</v>
      </c>
      <c r="B132" s="63">
        <v>44898</v>
      </c>
      <c r="C132" t="s">
        <v>15</v>
      </c>
      <c r="D132">
        <v>12.99</v>
      </c>
      <c r="E132" t="s">
        <v>10</v>
      </c>
      <c r="F132" t="s">
        <v>16</v>
      </c>
      <c r="G132" t="s">
        <v>19</v>
      </c>
      <c r="H132">
        <v>524</v>
      </c>
      <c r="I132" t="e" vm="9">
        <v>#VALUE!</v>
      </c>
      <c r="J132" t="e" vm="10">
        <v>#VALUE!</v>
      </c>
      <c r="K132">
        <v>6806.76</v>
      </c>
    </row>
    <row r="133" spans="1:11" x14ac:dyDescent="0.25">
      <c r="A133">
        <v>10581</v>
      </c>
      <c r="B133" s="63">
        <v>44898</v>
      </c>
      <c r="C133" t="s">
        <v>18</v>
      </c>
      <c r="D133">
        <v>9.9499999999999993</v>
      </c>
      <c r="E133" t="s">
        <v>10</v>
      </c>
      <c r="F133" t="s">
        <v>16</v>
      </c>
      <c r="G133" t="s">
        <v>19</v>
      </c>
      <c r="H133">
        <v>202</v>
      </c>
      <c r="I133" t="e" vm="9">
        <v>#VALUE!</v>
      </c>
      <c r="J133" t="e" vm="10">
        <v>#VALUE!</v>
      </c>
      <c r="K133">
        <v>2009.8999999999999</v>
      </c>
    </row>
    <row r="134" spans="1:11" x14ac:dyDescent="0.25">
      <c r="A134">
        <v>10582</v>
      </c>
      <c r="B134" s="63">
        <v>44898</v>
      </c>
      <c r="C134" t="s">
        <v>9</v>
      </c>
      <c r="D134">
        <v>3.49</v>
      </c>
      <c r="E134" t="s">
        <v>10</v>
      </c>
      <c r="F134" t="s">
        <v>16</v>
      </c>
      <c r="G134" t="s">
        <v>24</v>
      </c>
      <c r="H134">
        <v>631</v>
      </c>
      <c r="I134" t="e" vm="1">
        <v>#VALUE!</v>
      </c>
      <c r="J134" t="e" vm="11">
        <v>#VALUE!</v>
      </c>
      <c r="K134">
        <v>2202.19</v>
      </c>
    </row>
    <row r="135" spans="1:11" x14ac:dyDescent="0.25">
      <c r="A135">
        <v>10583</v>
      </c>
      <c r="B135" s="63">
        <v>44898</v>
      </c>
      <c r="C135" t="s">
        <v>12</v>
      </c>
      <c r="D135">
        <v>2.95</v>
      </c>
      <c r="E135" t="s">
        <v>10</v>
      </c>
      <c r="F135" t="s">
        <v>16</v>
      </c>
      <c r="G135" t="s">
        <v>24</v>
      </c>
      <c r="H135">
        <v>678</v>
      </c>
      <c r="I135" t="e" vm="1">
        <v>#VALUE!</v>
      </c>
      <c r="J135" t="e" vm="11">
        <v>#VALUE!</v>
      </c>
      <c r="K135">
        <v>2000.1000000000001</v>
      </c>
    </row>
    <row r="136" spans="1:11" x14ac:dyDescent="0.25">
      <c r="A136">
        <v>10584</v>
      </c>
      <c r="B136" s="63">
        <v>44898</v>
      </c>
      <c r="C136" t="s">
        <v>13</v>
      </c>
      <c r="D136">
        <v>4.99</v>
      </c>
      <c r="E136" t="s">
        <v>10</v>
      </c>
      <c r="F136" t="s">
        <v>16</v>
      </c>
      <c r="G136" t="s">
        <v>24</v>
      </c>
      <c r="H136">
        <v>201</v>
      </c>
      <c r="I136" t="e" vm="1">
        <v>#VALUE!</v>
      </c>
      <c r="J136" t="e" vm="11">
        <v>#VALUE!</v>
      </c>
      <c r="K136">
        <v>1002.99</v>
      </c>
    </row>
    <row r="137" spans="1:11" x14ac:dyDescent="0.25">
      <c r="A137">
        <v>10585</v>
      </c>
      <c r="B137" s="63">
        <v>44899</v>
      </c>
      <c r="C137" t="s">
        <v>15</v>
      </c>
      <c r="D137">
        <v>12.99</v>
      </c>
      <c r="E137" t="s">
        <v>10</v>
      </c>
      <c r="F137" t="s">
        <v>16</v>
      </c>
      <c r="G137" t="s">
        <v>24</v>
      </c>
      <c r="H137">
        <v>539</v>
      </c>
      <c r="I137" t="e" vm="1">
        <v>#VALUE!</v>
      </c>
      <c r="J137" t="e" vm="11">
        <v>#VALUE!</v>
      </c>
      <c r="K137">
        <v>7001.61</v>
      </c>
    </row>
    <row r="138" spans="1:11" x14ac:dyDescent="0.25">
      <c r="A138">
        <v>10586</v>
      </c>
      <c r="B138" s="63">
        <v>44899</v>
      </c>
      <c r="C138" t="s">
        <v>18</v>
      </c>
      <c r="D138">
        <v>9.9499999999999993</v>
      </c>
      <c r="E138" t="s">
        <v>10</v>
      </c>
      <c r="F138" t="s">
        <v>16</v>
      </c>
      <c r="G138" t="s">
        <v>24</v>
      </c>
      <c r="H138">
        <v>202</v>
      </c>
      <c r="I138" t="e" vm="1">
        <v>#VALUE!</v>
      </c>
      <c r="J138" t="e" vm="11">
        <v>#VALUE!</v>
      </c>
      <c r="K138">
        <v>2009.8999999999999</v>
      </c>
    </row>
    <row r="139" spans="1:11" x14ac:dyDescent="0.25">
      <c r="A139">
        <v>10537</v>
      </c>
      <c r="B139" s="63">
        <v>44889</v>
      </c>
      <c r="C139" t="s">
        <v>9</v>
      </c>
      <c r="D139">
        <v>3.49</v>
      </c>
      <c r="E139" t="s">
        <v>22</v>
      </c>
      <c r="F139" t="s">
        <v>16</v>
      </c>
      <c r="G139" t="s">
        <v>20</v>
      </c>
      <c r="H139">
        <v>631</v>
      </c>
      <c r="I139" t="e" vm="3">
        <v>#VALUE!</v>
      </c>
      <c r="J139" t="e" vm="4">
        <v>#VALUE!</v>
      </c>
      <c r="K139">
        <v>2202.19</v>
      </c>
    </row>
    <row r="140" spans="1:11" x14ac:dyDescent="0.25">
      <c r="A140">
        <v>10538</v>
      </c>
      <c r="B140" s="63">
        <v>44889</v>
      </c>
      <c r="C140" t="s">
        <v>12</v>
      </c>
      <c r="D140">
        <v>2.95</v>
      </c>
      <c r="E140" t="s">
        <v>22</v>
      </c>
      <c r="F140" t="s">
        <v>16</v>
      </c>
      <c r="G140" t="s">
        <v>20</v>
      </c>
      <c r="H140">
        <v>746</v>
      </c>
      <c r="I140" t="e" vm="3">
        <v>#VALUE!</v>
      </c>
      <c r="J140" t="e" vm="4">
        <v>#VALUE!</v>
      </c>
      <c r="K140">
        <v>2200.7000000000003</v>
      </c>
    </row>
    <row r="141" spans="1:11" x14ac:dyDescent="0.25">
      <c r="A141">
        <v>10539</v>
      </c>
      <c r="B141" s="63">
        <v>44889</v>
      </c>
      <c r="C141" t="s">
        <v>13</v>
      </c>
      <c r="D141">
        <v>4.99</v>
      </c>
      <c r="E141" t="s">
        <v>22</v>
      </c>
      <c r="F141" t="s">
        <v>16</v>
      </c>
      <c r="G141" t="s">
        <v>20</v>
      </c>
      <c r="H141">
        <v>201</v>
      </c>
      <c r="I141" t="e" vm="3">
        <v>#VALUE!</v>
      </c>
      <c r="J141" t="e" vm="4">
        <v>#VALUE!</v>
      </c>
      <c r="K141">
        <v>1002.99</v>
      </c>
    </row>
    <row r="142" spans="1:11" x14ac:dyDescent="0.25">
      <c r="A142">
        <v>10590</v>
      </c>
      <c r="B142" s="63">
        <v>44900</v>
      </c>
      <c r="C142" t="s">
        <v>15</v>
      </c>
      <c r="D142">
        <v>12.99</v>
      </c>
      <c r="E142" t="s">
        <v>10</v>
      </c>
      <c r="F142" t="s">
        <v>16</v>
      </c>
      <c r="G142" t="s">
        <v>24</v>
      </c>
      <c r="H142">
        <v>555</v>
      </c>
      <c r="I142" t="e" vm="1">
        <v>#VALUE!</v>
      </c>
      <c r="J142" t="e" vm="11">
        <v>#VALUE!</v>
      </c>
      <c r="K142">
        <v>7209.45</v>
      </c>
    </row>
    <row r="143" spans="1:11" x14ac:dyDescent="0.25">
      <c r="A143">
        <v>10591</v>
      </c>
      <c r="B143" s="63">
        <v>44900</v>
      </c>
      <c r="C143" t="s">
        <v>18</v>
      </c>
      <c r="D143">
        <v>9.9499999999999993</v>
      </c>
      <c r="E143" t="s">
        <v>10</v>
      </c>
      <c r="F143" t="s">
        <v>16</v>
      </c>
      <c r="G143" t="s">
        <v>24</v>
      </c>
      <c r="H143">
        <v>202</v>
      </c>
      <c r="I143" t="e" vm="1">
        <v>#VALUE!</v>
      </c>
      <c r="J143" t="e" vm="11">
        <v>#VALUE!</v>
      </c>
      <c r="K143">
        <v>2009.8999999999999</v>
      </c>
    </row>
    <row r="144" spans="1:11" x14ac:dyDescent="0.25">
      <c r="A144">
        <v>10592</v>
      </c>
      <c r="B144" s="63">
        <v>44900</v>
      </c>
      <c r="C144" t="s">
        <v>9</v>
      </c>
      <c r="D144">
        <v>3.49</v>
      </c>
      <c r="E144" t="s">
        <v>10</v>
      </c>
      <c r="F144" t="s">
        <v>16</v>
      </c>
      <c r="G144" t="s">
        <v>24</v>
      </c>
      <c r="H144">
        <v>574</v>
      </c>
      <c r="I144" t="e" vm="1">
        <v>#VALUE!</v>
      </c>
      <c r="J144" t="e" vm="11">
        <v>#VALUE!</v>
      </c>
      <c r="K144">
        <v>2003.2600000000002</v>
      </c>
    </row>
    <row r="145" spans="1:11" x14ac:dyDescent="0.25">
      <c r="A145">
        <v>10593</v>
      </c>
      <c r="B145" s="63">
        <v>44900</v>
      </c>
      <c r="C145" t="s">
        <v>12</v>
      </c>
      <c r="D145">
        <v>2.95</v>
      </c>
      <c r="E145" t="s">
        <v>10</v>
      </c>
      <c r="F145" t="s">
        <v>16</v>
      </c>
      <c r="G145" t="s">
        <v>24</v>
      </c>
      <c r="H145">
        <v>678</v>
      </c>
      <c r="I145" t="e" vm="1">
        <v>#VALUE!</v>
      </c>
      <c r="J145" t="e" vm="11">
        <v>#VALUE!</v>
      </c>
      <c r="K145">
        <v>2000.1000000000001</v>
      </c>
    </row>
    <row r="146" spans="1:11" x14ac:dyDescent="0.25">
      <c r="A146">
        <v>10594</v>
      </c>
      <c r="B146" s="63">
        <v>44900</v>
      </c>
      <c r="C146" t="s">
        <v>13</v>
      </c>
      <c r="D146">
        <v>4.99</v>
      </c>
      <c r="E146" t="s">
        <v>10</v>
      </c>
      <c r="F146" t="s">
        <v>16</v>
      </c>
      <c r="G146" t="s">
        <v>24</v>
      </c>
      <c r="H146">
        <v>201</v>
      </c>
      <c r="I146" t="e" vm="1">
        <v>#VALUE!</v>
      </c>
      <c r="J146" t="e" vm="11">
        <v>#VALUE!</v>
      </c>
      <c r="K146">
        <v>1002.99</v>
      </c>
    </row>
    <row r="147" spans="1:11" x14ac:dyDescent="0.25">
      <c r="A147">
        <v>10595</v>
      </c>
      <c r="B147" s="63">
        <v>44901</v>
      </c>
      <c r="C147" t="s">
        <v>15</v>
      </c>
      <c r="D147">
        <v>12.99</v>
      </c>
      <c r="E147" t="s">
        <v>10</v>
      </c>
      <c r="F147" t="s">
        <v>16</v>
      </c>
      <c r="G147" t="s">
        <v>24</v>
      </c>
      <c r="H147">
        <v>539</v>
      </c>
      <c r="I147" t="e" vm="1">
        <v>#VALUE!</v>
      </c>
      <c r="J147" t="e" vm="11">
        <v>#VALUE!</v>
      </c>
      <c r="K147">
        <v>7001.61</v>
      </c>
    </row>
    <row r="148" spans="1:11" x14ac:dyDescent="0.25">
      <c r="A148">
        <v>10596</v>
      </c>
      <c r="B148" s="63">
        <v>44901</v>
      </c>
      <c r="C148" t="s">
        <v>18</v>
      </c>
      <c r="D148">
        <v>9.9499999999999993</v>
      </c>
      <c r="E148" t="s">
        <v>10</v>
      </c>
      <c r="F148" t="s">
        <v>16</v>
      </c>
      <c r="G148" t="s">
        <v>24</v>
      </c>
      <c r="H148">
        <v>202</v>
      </c>
      <c r="I148" t="e" vm="1">
        <v>#VALUE!</v>
      </c>
      <c r="J148" t="e" vm="11">
        <v>#VALUE!</v>
      </c>
      <c r="K148">
        <v>2009.8999999999999</v>
      </c>
    </row>
    <row r="149" spans="1:11" x14ac:dyDescent="0.25">
      <c r="A149">
        <v>10597</v>
      </c>
      <c r="B149" s="63">
        <v>44901</v>
      </c>
      <c r="C149" t="s">
        <v>9</v>
      </c>
      <c r="D149">
        <v>3.49</v>
      </c>
      <c r="E149" t="s">
        <v>10</v>
      </c>
      <c r="F149" t="s">
        <v>16</v>
      </c>
      <c r="G149" t="s">
        <v>24</v>
      </c>
      <c r="H149">
        <v>574</v>
      </c>
      <c r="I149" t="e" vm="1">
        <v>#VALUE!</v>
      </c>
      <c r="J149" t="e" vm="11">
        <v>#VALUE!</v>
      </c>
      <c r="K149">
        <v>2003.2600000000002</v>
      </c>
    </row>
    <row r="150" spans="1:11" x14ac:dyDescent="0.25">
      <c r="A150">
        <v>10598</v>
      </c>
      <c r="B150" s="63">
        <v>44901</v>
      </c>
      <c r="C150" t="s">
        <v>12</v>
      </c>
      <c r="D150">
        <v>2.95</v>
      </c>
      <c r="E150" t="s">
        <v>10</v>
      </c>
      <c r="F150" t="s">
        <v>16</v>
      </c>
      <c r="G150" t="s">
        <v>24</v>
      </c>
      <c r="H150">
        <v>678</v>
      </c>
      <c r="I150" t="e" vm="1">
        <v>#VALUE!</v>
      </c>
      <c r="J150" t="e" vm="11">
        <v>#VALUE!</v>
      </c>
      <c r="K150">
        <v>2000.1000000000001</v>
      </c>
    </row>
    <row r="151" spans="1:11" x14ac:dyDescent="0.25">
      <c r="A151">
        <v>10599</v>
      </c>
      <c r="B151" s="63">
        <v>44901</v>
      </c>
      <c r="C151" t="s">
        <v>13</v>
      </c>
      <c r="D151">
        <v>4.99</v>
      </c>
      <c r="E151" t="s">
        <v>10</v>
      </c>
      <c r="F151" t="s">
        <v>16</v>
      </c>
      <c r="G151" t="s">
        <v>24</v>
      </c>
      <c r="H151">
        <v>201</v>
      </c>
      <c r="I151" t="e" vm="1">
        <v>#VALUE!</v>
      </c>
      <c r="J151" t="e" vm="11">
        <v>#VALUE!</v>
      </c>
      <c r="K151">
        <v>1002.99</v>
      </c>
    </row>
    <row r="152" spans="1:11" x14ac:dyDescent="0.25">
      <c r="A152">
        <v>10600</v>
      </c>
      <c r="B152" s="63">
        <v>44902</v>
      </c>
      <c r="C152" t="s">
        <v>15</v>
      </c>
      <c r="D152">
        <v>12.99</v>
      </c>
      <c r="E152" t="s">
        <v>10</v>
      </c>
      <c r="F152" t="s">
        <v>16</v>
      </c>
      <c r="G152" t="s">
        <v>24</v>
      </c>
      <c r="H152">
        <v>524</v>
      </c>
      <c r="I152" t="e" vm="1">
        <v>#VALUE!</v>
      </c>
      <c r="J152" t="e" vm="11">
        <v>#VALUE!</v>
      </c>
      <c r="K152">
        <v>6806.76</v>
      </c>
    </row>
    <row r="153" spans="1:11" x14ac:dyDescent="0.25">
      <c r="A153">
        <v>10601</v>
      </c>
      <c r="B153" s="63">
        <v>44902</v>
      </c>
      <c r="C153" t="s">
        <v>18</v>
      </c>
      <c r="D153">
        <v>9.9499999999999993</v>
      </c>
      <c r="E153" t="s">
        <v>10</v>
      </c>
      <c r="F153" t="s">
        <v>16</v>
      </c>
      <c r="G153" t="s">
        <v>24</v>
      </c>
      <c r="H153">
        <v>202</v>
      </c>
      <c r="I153" t="e" vm="1">
        <v>#VALUE!</v>
      </c>
      <c r="J153" t="e" vm="11">
        <v>#VALUE!</v>
      </c>
      <c r="K153">
        <v>2009.8999999999999</v>
      </c>
    </row>
    <row r="154" spans="1:11" x14ac:dyDescent="0.25">
      <c r="A154">
        <v>10602</v>
      </c>
      <c r="B154" s="63">
        <v>44902</v>
      </c>
      <c r="C154" t="s">
        <v>9</v>
      </c>
      <c r="D154">
        <v>3.49</v>
      </c>
      <c r="E154" t="s">
        <v>10</v>
      </c>
      <c r="F154" t="s">
        <v>23</v>
      </c>
      <c r="G154" t="s">
        <v>24</v>
      </c>
      <c r="H154">
        <v>631</v>
      </c>
      <c r="I154" t="e" vm="1">
        <v>#VALUE!</v>
      </c>
      <c r="J154" t="e" vm="11">
        <v>#VALUE!</v>
      </c>
      <c r="K154">
        <v>2202.19</v>
      </c>
    </row>
    <row r="155" spans="1:11" x14ac:dyDescent="0.25">
      <c r="A155">
        <v>10603</v>
      </c>
      <c r="B155" s="63">
        <v>44902</v>
      </c>
      <c r="C155" t="s">
        <v>12</v>
      </c>
      <c r="D155">
        <v>2.95</v>
      </c>
      <c r="E155" t="s">
        <v>10</v>
      </c>
      <c r="F155" t="s">
        <v>23</v>
      </c>
      <c r="G155" t="s">
        <v>24</v>
      </c>
      <c r="H155">
        <v>678</v>
      </c>
      <c r="I155" t="e" vm="1">
        <v>#VALUE!</v>
      </c>
      <c r="J155" t="e" vm="11">
        <v>#VALUE!</v>
      </c>
      <c r="K155">
        <v>2000.1000000000001</v>
      </c>
    </row>
    <row r="156" spans="1:11" x14ac:dyDescent="0.25">
      <c r="A156">
        <v>10604</v>
      </c>
      <c r="B156" s="63">
        <v>44902</v>
      </c>
      <c r="C156" t="s">
        <v>13</v>
      </c>
      <c r="D156">
        <v>4.99</v>
      </c>
      <c r="E156" t="s">
        <v>10</v>
      </c>
      <c r="F156" t="s">
        <v>23</v>
      </c>
      <c r="G156" t="s">
        <v>24</v>
      </c>
      <c r="H156">
        <v>201</v>
      </c>
      <c r="I156" t="e" vm="1">
        <v>#VALUE!</v>
      </c>
      <c r="J156" t="e" vm="11">
        <v>#VALUE!</v>
      </c>
      <c r="K156">
        <v>1002.99</v>
      </c>
    </row>
    <row r="157" spans="1:11" x14ac:dyDescent="0.25">
      <c r="A157">
        <v>10605</v>
      </c>
      <c r="B157" s="63">
        <v>44903</v>
      </c>
      <c r="C157" t="s">
        <v>15</v>
      </c>
      <c r="D157">
        <v>12.99</v>
      </c>
      <c r="E157" t="s">
        <v>10</v>
      </c>
      <c r="F157" t="s">
        <v>23</v>
      </c>
      <c r="G157" t="s">
        <v>24</v>
      </c>
      <c r="H157">
        <v>539</v>
      </c>
      <c r="I157" t="e" vm="1">
        <v>#VALUE!</v>
      </c>
      <c r="J157" t="e" vm="11">
        <v>#VALUE!</v>
      </c>
      <c r="K157">
        <v>7001.61</v>
      </c>
    </row>
    <row r="158" spans="1:11" x14ac:dyDescent="0.25">
      <c r="A158">
        <v>10606</v>
      </c>
      <c r="B158" s="63">
        <v>44903</v>
      </c>
      <c r="C158" t="s">
        <v>18</v>
      </c>
      <c r="D158">
        <v>9.9499999999999993</v>
      </c>
      <c r="E158" t="s">
        <v>10</v>
      </c>
      <c r="F158" t="s">
        <v>23</v>
      </c>
      <c r="G158" t="s">
        <v>24</v>
      </c>
      <c r="H158">
        <v>202</v>
      </c>
      <c r="I158" t="e" vm="1">
        <v>#VALUE!</v>
      </c>
      <c r="J158" t="e" vm="11">
        <v>#VALUE!</v>
      </c>
      <c r="K158">
        <v>2009.8999999999999</v>
      </c>
    </row>
    <row r="159" spans="1:11" x14ac:dyDescent="0.25">
      <c r="A159">
        <v>10607</v>
      </c>
      <c r="B159" s="63">
        <v>44903</v>
      </c>
      <c r="C159" t="s">
        <v>9</v>
      </c>
      <c r="D159">
        <v>3.49</v>
      </c>
      <c r="E159" t="s">
        <v>10</v>
      </c>
      <c r="F159" t="s">
        <v>23</v>
      </c>
      <c r="G159" t="s">
        <v>24</v>
      </c>
      <c r="H159">
        <v>631</v>
      </c>
      <c r="I159" t="e" vm="1">
        <v>#VALUE!</v>
      </c>
      <c r="J159" t="e" vm="11">
        <v>#VALUE!</v>
      </c>
      <c r="K159">
        <v>2202.19</v>
      </c>
    </row>
    <row r="160" spans="1:11" x14ac:dyDescent="0.25">
      <c r="A160">
        <v>10608</v>
      </c>
      <c r="B160" s="63">
        <v>44903</v>
      </c>
      <c r="C160" t="s">
        <v>12</v>
      </c>
      <c r="D160">
        <v>2.95</v>
      </c>
      <c r="E160" t="s">
        <v>10</v>
      </c>
      <c r="F160" t="s">
        <v>11</v>
      </c>
      <c r="G160" t="s">
        <v>24</v>
      </c>
      <c r="H160">
        <v>678</v>
      </c>
      <c r="I160" t="e" vm="1">
        <v>#VALUE!</v>
      </c>
      <c r="J160" t="e" vm="11">
        <v>#VALUE!</v>
      </c>
      <c r="K160">
        <v>2000.1000000000001</v>
      </c>
    </row>
    <row r="161" spans="1:11" x14ac:dyDescent="0.25">
      <c r="A161">
        <v>10609</v>
      </c>
      <c r="B161" s="63">
        <v>44903</v>
      </c>
      <c r="C161" t="s">
        <v>13</v>
      </c>
      <c r="D161">
        <v>4.99</v>
      </c>
      <c r="E161" t="s">
        <v>10</v>
      </c>
      <c r="F161" t="s">
        <v>11</v>
      </c>
      <c r="G161" t="s">
        <v>24</v>
      </c>
      <c r="H161">
        <v>201</v>
      </c>
      <c r="I161" t="e" vm="1">
        <v>#VALUE!</v>
      </c>
      <c r="J161" t="e" vm="11">
        <v>#VALUE!</v>
      </c>
      <c r="K161">
        <v>1002.99</v>
      </c>
    </row>
    <row r="162" spans="1:11" x14ac:dyDescent="0.25">
      <c r="A162">
        <v>10610</v>
      </c>
      <c r="B162" s="63">
        <v>44904</v>
      </c>
      <c r="C162" t="s">
        <v>15</v>
      </c>
      <c r="D162">
        <v>12.99</v>
      </c>
      <c r="E162" t="s">
        <v>10</v>
      </c>
      <c r="F162" t="s">
        <v>11</v>
      </c>
      <c r="G162" t="s">
        <v>24</v>
      </c>
      <c r="H162">
        <v>570</v>
      </c>
      <c r="I162" t="e" vm="1">
        <v>#VALUE!</v>
      </c>
      <c r="J162" t="e" vm="11">
        <v>#VALUE!</v>
      </c>
      <c r="K162">
        <v>7404.3</v>
      </c>
    </row>
    <row r="163" spans="1:11" x14ac:dyDescent="0.25">
      <c r="A163">
        <v>10611</v>
      </c>
      <c r="B163" s="63">
        <v>44904</v>
      </c>
      <c r="C163" t="s">
        <v>18</v>
      </c>
      <c r="D163">
        <v>9.9499999999999993</v>
      </c>
      <c r="E163" t="s">
        <v>10</v>
      </c>
      <c r="F163" t="s">
        <v>11</v>
      </c>
      <c r="G163" t="s">
        <v>24</v>
      </c>
      <c r="H163">
        <v>202</v>
      </c>
      <c r="I163" t="e" vm="1">
        <v>#VALUE!</v>
      </c>
      <c r="J163" t="e" vm="11">
        <v>#VALUE!</v>
      </c>
      <c r="K163">
        <v>2009.8999999999999</v>
      </c>
    </row>
    <row r="164" spans="1:11" x14ac:dyDescent="0.25">
      <c r="A164">
        <v>10612</v>
      </c>
      <c r="B164" s="63">
        <v>44904</v>
      </c>
      <c r="C164" t="s">
        <v>9</v>
      </c>
      <c r="D164">
        <v>3.49</v>
      </c>
      <c r="E164" t="s">
        <v>10</v>
      </c>
      <c r="F164" t="s">
        <v>11</v>
      </c>
      <c r="G164" t="s">
        <v>24</v>
      </c>
      <c r="H164">
        <v>631</v>
      </c>
      <c r="I164" t="e" vm="1">
        <v>#VALUE!</v>
      </c>
      <c r="J164" t="e" vm="11">
        <v>#VALUE!</v>
      </c>
      <c r="K164">
        <v>2202.19</v>
      </c>
    </row>
    <row r="165" spans="1:11" x14ac:dyDescent="0.25">
      <c r="A165">
        <v>10613</v>
      </c>
      <c r="B165" s="63">
        <v>44904</v>
      </c>
      <c r="C165" t="s">
        <v>12</v>
      </c>
      <c r="D165">
        <v>2.95</v>
      </c>
      <c r="E165" t="s">
        <v>10</v>
      </c>
      <c r="F165" t="s">
        <v>11</v>
      </c>
      <c r="G165" t="s">
        <v>24</v>
      </c>
      <c r="H165">
        <v>678</v>
      </c>
      <c r="I165" t="e" vm="1">
        <v>#VALUE!</v>
      </c>
      <c r="J165" t="e" vm="11">
        <v>#VALUE!</v>
      </c>
      <c r="K165">
        <v>2000.1000000000001</v>
      </c>
    </row>
    <row r="166" spans="1:11" x14ac:dyDescent="0.25">
      <c r="A166">
        <v>10614</v>
      </c>
      <c r="B166" s="63">
        <v>44904</v>
      </c>
      <c r="C166" t="s">
        <v>13</v>
      </c>
      <c r="D166">
        <v>4.99</v>
      </c>
      <c r="E166" t="s">
        <v>10</v>
      </c>
      <c r="F166" t="s">
        <v>11</v>
      </c>
      <c r="G166" t="s">
        <v>24</v>
      </c>
      <c r="H166">
        <v>201</v>
      </c>
      <c r="I166" t="e" vm="1">
        <v>#VALUE!</v>
      </c>
      <c r="J166" t="e" vm="11">
        <v>#VALUE!</v>
      </c>
      <c r="K166">
        <v>1002.99</v>
      </c>
    </row>
    <row r="167" spans="1:11" x14ac:dyDescent="0.25">
      <c r="A167">
        <v>10615</v>
      </c>
      <c r="B167" s="63">
        <v>44905</v>
      </c>
      <c r="C167" t="s">
        <v>15</v>
      </c>
      <c r="D167">
        <v>12.99</v>
      </c>
      <c r="E167" t="s">
        <v>10</v>
      </c>
      <c r="F167" t="s">
        <v>11</v>
      </c>
      <c r="G167" t="s">
        <v>24</v>
      </c>
      <c r="H167">
        <v>570</v>
      </c>
      <c r="I167" t="e" vm="1">
        <v>#VALUE!</v>
      </c>
      <c r="J167" t="e" vm="11">
        <v>#VALUE!</v>
      </c>
      <c r="K167">
        <v>7404.3</v>
      </c>
    </row>
    <row r="168" spans="1:11" x14ac:dyDescent="0.25">
      <c r="A168">
        <v>10616</v>
      </c>
      <c r="B168" s="63">
        <v>44905</v>
      </c>
      <c r="C168" t="s">
        <v>18</v>
      </c>
      <c r="D168">
        <v>9.9499999999999993</v>
      </c>
      <c r="E168" t="s">
        <v>10</v>
      </c>
      <c r="F168" t="s">
        <v>11</v>
      </c>
      <c r="G168" t="s">
        <v>24</v>
      </c>
      <c r="H168">
        <v>202</v>
      </c>
      <c r="I168" t="e" vm="1">
        <v>#VALUE!</v>
      </c>
      <c r="J168" t="e" vm="11">
        <v>#VALUE!</v>
      </c>
      <c r="K168">
        <v>2009.8999999999999</v>
      </c>
    </row>
    <row r="169" spans="1:11" x14ac:dyDescent="0.25">
      <c r="A169">
        <v>10617</v>
      </c>
      <c r="B169" s="63">
        <v>44905</v>
      </c>
      <c r="C169" t="s">
        <v>9</v>
      </c>
      <c r="D169">
        <v>3.49</v>
      </c>
      <c r="E169" t="s">
        <v>10</v>
      </c>
      <c r="F169" t="s">
        <v>11</v>
      </c>
      <c r="G169" t="s">
        <v>24</v>
      </c>
      <c r="H169">
        <v>631</v>
      </c>
      <c r="I169" t="e" vm="1">
        <v>#VALUE!</v>
      </c>
      <c r="J169" t="e" vm="11">
        <v>#VALUE!</v>
      </c>
      <c r="K169">
        <v>2202.19</v>
      </c>
    </row>
    <row r="170" spans="1:11" x14ac:dyDescent="0.25">
      <c r="A170">
        <v>10618</v>
      </c>
      <c r="B170" s="63">
        <v>44905</v>
      </c>
      <c r="C170" t="s">
        <v>12</v>
      </c>
      <c r="D170">
        <v>2.95</v>
      </c>
      <c r="E170" t="s">
        <v>10</v>
      </c>
      <c r="F170" t="s">
        <v>11</v>
      </c>
      <c r="G170" t="s">
        <v>24</v>
      </c>
      <c r="H170">
        <v>678</v>
      </c>
      <c r="I170" t="e" vm="1">
        <v>#VALUE!</v>
      </c>
      <c r="J170" t="e" vm="11">
        <v>#VALUE!</v>
      </c>
      <c r="K170">
        <v>2000.1000000000001</v>
      </c>
    </row>
    <row r="171" spans="1:11" x14ac:dyDescent="0.25">
      <c r="A171">
        <v>10619</v>
      </c>
      <c r="B171" s="63">
        <v>44905</v>
      </c>
      <c r="C171" t="s">
        <v>13</v>
      </c>
      <c r="D171">
        <v>4.99</v>
      </c>
      <c r="E171" t="s">
        <v>10</v>
      </c>
      <c r="F171" t="s">
        <v>11</v>
      </c>
      <c r="G171" t="s">
        <v>24</v>
      </c>
      <c r="H171">
        <v>201</v>
      </c>
      <c r="I171" t="e" vm="1">
        <v>#VALUE!</v>
      </c>
      <c r="J171" t="e" vm="11">
        <v>#VALUE!</v>
      </c>
      <c r="K171">
        <v>1002.99</v>
      </c>
    </row>
    <row r="172" spans="1:11" x14ac:dyDescent="0.25">
      <c r="A172">
        <v>10620</v>
      </c>
      <c r="B172" s="63">
        <v>44906</v>
      </c>
      <c r="C172" t="s">
        <v>15</v>
      </c>
      <c r="D172">
        <v>12.99</v>
      </c>
      <c r="E172" t="s">
        <v>10</v>
      </c>
      <c r="F172" t="s">
        <v>11</v>
      </c>
      <c r="G172" t="s">
        <v>24</v>
      </c>
      <c r="H172">
        <v>586</v>
      </c>
      <c r="I172" t="e" vm="1">
        <v>#VALUE!</v>
      </c>
      <c r="J172" t="e" vm="11">
        <v>#VALUE!</v>
      </c>
      <c r="K172">
        <v>7612.14</v>
      </c>
    </row>
    <row r="173" spans="1:11" x14ac:dyDescent="0.25">
      <c r="A173">
        <v>10621</v>
      </c>
      <c r="B173" s="63">
        <v>44906</v>
      </c>
      <c r="C173" t="s">
        <v>18</v>
      </c>
      <c r="D173">
        <v>9.9499999999999993</v>
      </c>
      <c r="E173" t="s">
        <v>10</v>
      </c>
      <c r="F173" t="s">
        <v>11</v>
      </c>
      <c r="G173" t="s">
        <v>24</v>
      </c>
      <c r="H173">
        <v>202</v>
      </c>
      <c r="I173" t="e" vm="1">
        <v>#VALUE!</v>
      </c>
      <c r="J173" t="e" vm="11">
        <v>#VALUE!</v>
      </c>
      <c r="K173">
        <v>2009.8999999999999</v>
      </c>
    </row>
    <row r="174" spans="1:11" x14ac:dyDescent="0.25">
      <c r="A174">
        <v>10622</v>
      </c>
      <c r="B174" s="63">
        <v>44906</v>
      </c>
      <c r="C174" t="s">
        <v>9</v>
      </c>
      <c r="D174">
        <v>3.49</v>
      </c>
      <c r="E174" t="s">
        <v>10</v>
      </c>
      <c r="F174" t="s">
        <v>11</v>
      </c>
      <c r="G174" t="s">
        <v>24</v>
      </c>
      <c r="H174">
        <v>631</v>
      </c>
      <c r="I174" t="e" vm="1">
        <v>#VALUE!</v>
      </c>
      <c r="J174" t="e" vm="11">
        <v>#VALUE!</v>
      </c>
      <c r="K174">
        <v>2202.19</v>
      </c>
    </row>
    <row r="175" spans="1:11" x14ac:dyDescent="0.25">
      <c r="A175">
        <v>10623</v>
      </c>
      <c r="B175" s="63">
        <v>44906</v>
      </c>
      <c r="C175" t="s">
        <v>12</v>
      </c>
      <c r="D175">
        <v>2.95</v>
      </c>
      <c r="E175" t="s">
        <v>10</v>
      </c>
      <c r="F175" t="s">
        <v>11</v>
      </c>
      <c r="G175" t="s">
        <v>24</v>
      </c>
      <c r="H175">
        <v>746</v>
      </c>
      <c r="I175" t="e" vm="1">
        <v>#VALUE!</v>
      </c>
      <c r="J175" t="e" vm="11">
        <v>#VALUE!</v>
      </c>
      <c r="K175">
        <v>2200.7000000000003</v>
      </c>
    </row>
    <row r="176" spans="1:11" x14ac:dyDescent="0.25">
      <c r="A176">
        <v>10624</v>
      </c>
      <c r="B176" s="63">
        <v>44906</v>
      </c>
      <c r="C176" t="s">
        <v>13</v>
      </c>
      <c r="D176">
        <v>4.99</v>
      </c>
      <c r="E176" t="s">
        <v>10</v>
      </c>
      <c r="F176" t="s">
        <v>11</v>
      </c>
      <c r="G176" t="s">
        <v>24</v>
      </c>
      <c r="H176">
        <v>201</v>
      </c>
      <c r="I176" t="e" vm="1">
        <v>#VALUE!</v>
      </c>
      <c r="J176" t="e" vm="11">
        <v>#VALUE!</v>
      </c>
      <c r="K176">
        <v>1002.99</v>
      </c>
    </row>
    <row r="177" spans="1:11" x14ac:dyDescent="0.25">
      <c r="A177">
        <v>10625</v>
      </c>
      <c r="B177" s="63">
        <v>44907</v>
      </c>
      <c r="C177" t="s">
        <v>15</v>
      </c>
      <c r="D177">
        <v>12.99</v>
      </c>
      <c r="E177" t="s">
        <v>10</v>
      </c>
      <c r="F177" t="s">
        <v>11</v>
      </c>
      <c r="G177" t="s">
        <v>24</v>
      </c>
      <c r="H177">
        <v>570</v>
      </c>
      <c r="I177" t="e" vm="1">
        <v>#VALUE!</v>
      </c>
      <c r="J177" t="e" vm="11">
        <v>#VALUE!</v>
      </c>
      <c r="K177">
        <v>7404.3</v>
      </c>
    </row>
    <row r="178" spans="1:11" x14ac:dyDescent="0.25">
      <c r="A178">
        <v>10626</v>
      </c>
      <c r="B178" s="63">
        <v>44907</v>
      </c>
      <c r="C178" t="s">
        <v>18</v>
      </c>
      <c r="D178">
        <v>9.9499999999999993</v>
      </c>
      <c r="E178" t="s">
        <v>10</v>
      </c>
      <c r="F178" t="s">
        <v>11</v>
      </c>
      <c r="G178" t="s">
        <v>24</v>
      </c>
      <c r="H178">
        <v>202</v>
      </c>
      <c r="I178" t="e" vm="1">
        <v>#VALUE!</v>
      </c>
      <c r="J178" t="e" vm="11">
        <v>#VALUE!</v>
      </c>
      <c r="K178">
        <v>2009.8999999999999</v>
      </c>
    </row>
    <row r="179" spans="1:11" x14ac:dyDescent="0.25">
      <c r="A179">
        <v>10627</v>
      </c>
      <c r="B179" s="63">
        <v>44907</v>
      </c>
      <c r="C179" t="s">
        <v>9</v>
      </c>
      <c r="D179">
        <v>3.49</v>
      </c>
      <c r="E179" t="s">
        <v>10</v>
      </c>
      <c r="F179" t="s">
        <v>11</v>
      </c>
      <c r="G179" t="s">
        <v>24</v>
      </c>
      <c r="H179">
        <v>631</v>
      </c>
      <c r="I179" t="e" vm="1">
        <v>#VALUE!</v>
      </c>
      <c r="J179" t="e" vm="11">
        <v>#VALUE!</v>
      </c>
      <c r="K179">
        <v>2202.19</v>
      </c>
    </row>
    <row r="180" spans="1:11" x14ac:dyDescent="0.25">
      <c r="A180">
        <v>10628</v>
      </c>
      <c r="B180" s="63">
        <v>44907</v>
      </c>
      <c r="C180" t="s">
        <v>12</v>
      </c>
      <c r="D180">
        <v>2.95</v>
      </c>
      <c r="E180" t="s">
        <v>10</v>
      </c>
      <c r="F180" t="s">
        <v>11</v>
      </c>
      <c r="G180" t="s">
        <v>21</v>
      </c>
      <c r="H180">
        <v>678</v>
      </c>
      <c r="I180" t="e" vm="5">
        <v>#VALUE!</v>
      </c>
      <c r="J180" t="e" vm="6">
        <v>#VALUE!</v>
      </c>
      <c r="K180">
        <v>2000.1000000000001</v>
      </c>
    </row>
    <row r="181" spans="1:11" x14ac:dyDescent="0.25">
      <c r="A181">
        <v>10629</v>
      </c>
      <c r="B181" s="63">
        <v>44907</v>
      </c>
      <c r="C181" t="s">
        <v>13</v>
      </c>
      <c r="D181">
        <v>4.99</v>
      </c>
      <c r="E181" t="s">
        <v>10</v>
      </c>
      <c r="F181" t="s">
        <v>11</v>
      </c>
      <c r="G181" t="s">
        <v>21</v>
      </c>
      <c r="H181">
        <v>201</v>
      </c>
      <c r="I181" t="e" vm="5">
        <v>#VALUE!</v>
      </c>
      <c r="J181" t="e" vm="6">
        <v>#VALUE!</v>
      </c>
      <c r="K181">
        <v>1002.99</v>
      </c>
    </row>
    <row r="182" spans="1:11" x14ac:dyDescent="0.25">
      <c r="A182">
        <v>10630</v>
      </c>
      <c r="B182" s="63">
        <v>44908</v>
      </c>
      <c r="C182" t="s">
        <v>15</v>
      </c>
      <c r="D182">
        <v>12.99</v>
      </c>
      <c r="E182" t="s">
        <v>10</v>
      </c>
      <c r="F182" t="s">
        <v>23</v>
      </c>
      <c r="G182" t="s">
        <v>21</v>
      </c>
      <c r="H182">
        <v>570</v>
      </c>
      <c r="I182" t="e" vm="5">
        <v>#VALUE!</v>
      </c>
      <c r="J182" t="e" vm="6">
        <v>#VALUE!</v>
      </c>
      <c r="K182">
        <v>7404.3</v>
      </c>
    </row>
    <row r="183" spans="1:11" x14ac:dyDescent="0.25">
      <c r="A183">
        <v>10631</v>
      </c>
      <c r="B183" s="63">
        <v>44908</v>
      </c>
      <c r="C183" t="s">
        <v>18</v>
      </c>
      <c r="D183">
        <v>9.9499999999999993</v>
      </c>
      <c r="E183" t="s">
        <v>10</v>
      </c>
      <c r="F183" t="s">
        <v>11</v>
      </c>
      <c r="G183" t="s">
        <v>21</v>
      </c>
      <c r="H183">
        <v>202</v>
      </c>
      <c r="I183" t="e" vm="5">
        <v>#VALUE!</v>
      </c>
      <c r="J183" t="e" vm="6">
        <v>#VALUE!</v>
      </c>
      <c r="K183">
        <v>2009.8999999999999</v>
      </c>
    </row>
    <row r="184" spans="1:11" x14ac:dyDescent="0.25">
      <c r="A184">
        <v>10632</v>
      </c>
      <c r="B184" s="63">
        <v>44908</v>
      </c>
      <c r="C184" t="s">
        <v>9</v>
      </c>
      <c r="D184">
        <v>3.49</v>
      </c>
      <c r="E184" t="s">
        <v>10</v>
      </c>
      <c r="F184" t="s">
        <v>11</v>
      </c>
      <c r="G184" t="s">
        <v>21</v>
      </c>
      <c r="H184">
        <v>631</v>
      </c>
      <c r="I184" t="e" vm="5">
        <v>#VALUE!</v>
      </c>
      <c r="J184" t="e" vm="6">
        <v>#VALUE!</v>
      </c>
      <c r="K184">
        <v>2202.19</v>
      </c>
    </row>
    <row r="185" spans="1:11" x14ac:dyDescent="0.25">
      <c r="A185">
        <v>10633</v>
      </c>
      <c r="B185" s="63">
        <v>44908</v>
      </c>
      <c r="C185" t="s">
        <v>12</v>
      </c>
      <c r="D185">
        <v>2.95</v>
      </c>
      <c r="E185" t="s">
        <v>10</v>
      </c>
      <c r="F185" t="s">
        <v>11</v>
      </c>
      <c r="G185" t="s">
        <v>21</v>
      </c>
      <c r="H185">
        <v>678</v>
      </c>
      <c r="I185" t="e" vm="5">
        <v>#VALUE!</v>
      </c>
      <c r="J185" t="e" vm="6">
        <v>#VALUE!</v>
      </c>
      <c r="K185">
        <v>2000.1000000000001</v>
      </c>
    </row>
    <row r="186" spans="1:11" x14ac:dyDescent="0.25">
      <c r="A186">
        <v>10634</v>
      </c>
      <c r="B186" s="63">
        <v>44908</v>
      </c>
      <c r="C186" t="s">
        <v>13</v>
      </c>
      <c r="D186">
        <v>4.99</v>
      </c>
      <c r="E186" t="s">
        <v>10</v>
      </c>
      <c r="F186" t="s">
        <v>11</v>
      </c>
      <c r="G186" t="s">
        <v>21</v>
      </c>
      <c r="H186">
        <v>201</v>
      </c>
      <c r="I186" t="e" vm="5">
        <v>#VALUE!</v>
      </c>
      <c r="J186" t="e" vm="6">
        <v>#VALUE!</v>
      </c>
      <c r="K186">
        <v>1002.99</v>
      </c>
    </row>
    <row r="187" spans="1:11" x14ac:dyDescent="0.25">
      <c r="A187">
        <v>10635</v>
      </c>
      <c r="B187" s="63">
        <v>44909</v>
      </c>
      <c r="C187" t="s">
        <v>15</v>
      </c>
      <c r="D187">
        <v>12.99</v>
      </c>
      <c r="E187" t="s">
        <v>10</v>
      </c>
      <c r="F187" t="s">
        <v>11</v>
      </c>
      <c r="G187" t="s">
        <v>21</v>
      </c>
      <c r="H187">
        <v>555</v>
      </c>
      <c r="I187" t="e" vm="5">
        <v>#VALUE!</v>
      </c>
      <c r="J187" t="e" vm="6">
        <v>#VALUE!</v>
      </c>
      <c r="K187">
        <v>7209.45</v>
      </c>
    </row>
    <row r="188" spans="1:11" x14ac:dyDescent="0.25">
      <c r="A188">
        <v>10636</v>
      </c>
      <c r="B188" s="63">
        <v>44909</v>
      </c>
      <c r="C188" t="s">
        <v>18</v>
      </c>
      <c r="D188">
        <v>9.9499999999999993</v>
      </c>
      <c r="E188" t="s">
        <v>10</v>
      </c>
      <c r="F188" t="s">
        <v>11</v>
      </c>
      <c r="G188" t="s">
        <v>21</v>
      </c>
      <c r="H188">
        <v>222</v>
      </c>
      <c r="I188" t="e" vm="5">
        <v>#VALUE!</v>
      </c>
      <c r="J188" t="e" vm="6">
        <v>#VALUE!</v>
      </c>
      <c r="K188">
        <v>2208.8999999999996</v>
      </c>
    </row>
    <row r="189" spans="1:11" x14ac:dyDescent="0.25">
      <c r="A189">
        <v>10637</v>
      </c>
      <c r="B189" s="63">
        <v>44909</v>
      </c>
      <c r="C189" t="s">
        <v>9</v>
      </c>
      <c r="D189">
        <v>3.49</v>
      </c>
      <c r="E189" t="s">
        <v>10</v>
      </c>
      <c r="F189" t="s">
        <v>11</v>
      </c>
      <c r="G189" t="s">
        <v>21</v>
      </c>
      <c r="H189">
        <v>631</v>
      </c>
      <c r="I189" t="e" vm="5">
        <v>#VALUE!</v>
      </c>
      <c r="J189" t="e" vm="6">
        <v>#VALUE!</v>
      </c>
      <c r="K189">
        <v>2202.19</v>
      </c>
    </row>
    <row r="190" spans="1:11" x14ac:dyDescent="0.25">
      <c r="A190">
        <v>10638</v>
      </c>
      <c r="B190" s="63">
        <v>44909</v>
      </c>
      <c r="C190" t="s">
        <v>12</v>
      </c>
      <c r="D190">
        <v>2.95</v>
      </c>
      <c r="E190" t="s">
        <v>10</v>
      </c>
      <c r="F190" t="s">
        <v>11</v>
      </c>
      <c r="G190" t="s">
        <v>21</v>
      </c>
      <c r="H190">
        <v>678</v>
      </c>
      <c r="I190" t="e" vm="5">
        <v>#VALUE!</v>
      </c>
      <c r="J190" t="e" vm="6">
        <v>#VALUE!</v>
      </c>
      <c r="K190">
        <v>2000.1000000000001</v>
      </c>
    </row>
    <row r="191" spans="1:11" x14ac:dyDescent="0.25">
      <c r="A191">
        <v>10639</v>
      </c>
      <c r="B191" s="63">
        <v>44909</v>
      </c>
      <c r="C191" t="s">
        <v>13</v>
      </c>
      <c r="D191">
        <v>4.99</v>
      </c>
      <c r="E191" t="s">
        <v>10</v>
      </c>
      <c r="F191" t="s">
        <v>11</v>
      </c>
      <c r="G191" t="s">
        <v>21</v>
      </c>
      <c r="H191">
        <v>201</v>
      </c>
      <c r="I191" t="e" vm="5">
        <v>#VALUE!</v>
      </c>
      <c r="J191" t="e" vm="6">
        <v>#VALUE!</v>
      </c>
      <c r="K191">
        <v>1002.99</v>
      </c>
    </row>
    <row r="192" spans="1:11" x14ac:dyDescent="0.25">
      <c r="A192">
        <v>10640</v>
      </c>
      <c r="B192" s="63">
        <v>44910</v>
      </c>
      <c r="C192" t="s">
        <v>15</v>
      </c>
      <c r="D192">
        <v>12.99</v>
      </c>
      <c r="E192" t="s">
        <v>10</v>
      </c>
      <c r="F192" t="s">
        <v>11</v>
      </c>
      <c r="G192" t="s">
        <v>21</v>
      </c>
      <c r="H192">
        <v>539</v>
      </c>
      <c r="I192" t="e" vm="5">
        <v>#VALUE!</v>
      </c>
      <c r="J192" t="e" vm="6">
        <v>#VALUE!</v>
      </c>
      <c r="K192">
        <v>7001.61</v>
      </c>
    </row>
    <row r="193" spans="1:11" x14ac:dyDescent="0.25">
      <c r="A193">
        <v>10641</v>
      </c>
      <c r="B193" s="63">
        <v>44910</v>
      </c>
      <c r="C193" t="s">
        <v>18</v>
      </c>
      <c r="D193">
        <v>9.9499999999999993</v>
      </c>
      <c r="E193" t="s">
        <v>10</v>
      </c>
      <c r="F193" t="s">
        <v>11</v>
      </c>
      <c r="G193" t="s">
        <v>21</v>
      </c>
      <c r="H193">
        <v>222</v>
      </c>
      <c r="I193" t="e" vm="5">
        <v>#VALUE!</v>
      </c>
      <c r="J193" t="e" vm="6">
        <v>#VALUE!</v>
      </c>
      <c r="K193">
        <v>2208.8999999999996</v>
      </c>
    </row>
    <row r="194" spans="1:11" x14ac:dyDescent="0.25">
      <c r="A194">
        <v>10642</v>
      </c>
      <c r="B194" s="63">
        <v>44910</v>
      </c>
      <c r="C194" t="s">
        <v>9</v>
      </c>
      <c r="D194">
        <v>3.49</v>
      </c>
      <c r="E194" t="s">
        <v>10</v>
      </c>
      <c r="F194" t="s">
        <v>23</v>
      </c>
      <c r="G194" t="s">
        <v>21</v>
      </c>
      <c r="H194">
        <v>631</v>
      </c>
      <c r="I194" t="e" vm="5">
        <v>#VALUE!</v>
      </c>
      <c r="J194" t="e" vm="6">
        <v>#VALUE!</v>
      </c>
      <c r="K194">
        <v>2202.19</v>
      </c>
    </row>
    <row r="195" spans="1:11" x14ac:dyDescent="0.25">
      <c r="A195">
        <v>10643</v>
      </c>
      <c r="B195" s="63">
        <v>44910</v>
      </c>
      <c r="C195" t="s">
        <v>12</v>
      </c>
      <c r="D195">
        <v>2.95</v>
      </c>
      <c r="E195" t="s">
        <v>10</v>
      </c>
      <c r="F195" t="s">
        <v>23</v>
      </c>
      <c r="G195" t="s">
        <v>21</v>
      </c>
      <c r="H195">
        <v>678</v>
      </c>
      <c r="I195" t="e" vm="5">
        <v>#VALUE!</v>
      </c>
      <c r="J195" t="e" vm="6">
        <v>#VALUE!</v>
      </c>
      <c r="K195">
        <v>2000.1000000000001</v>
      </c>
    </row>
    <row r="196" spans="1:11" x14ac:dyDescent="0.25">
      <c r="A196">
        <v>10644</v>
      </c>
      <c r="B196" s="63">
        <v>44910</v>
      </c>
      <c r="C196" t="s">
        <v>13</v>
      </c>
      <c r="D196">
        <v>4.99</v>
      </c>
      <c r="E196" t="s">
        <v>10</v>
      </c>
      <c r="F196" t="s">
        <v>23</v>
      </c>
      <c r="G196" t="s">
        <v>21</v>
      </c>
      <c r="H196">
        <v>201</v>
      </c>
      <c r="I196" t="e" vm="5">
        <v>#VALUE!</v>
      </c>
      <c r="J196" t="e" vm="6">
        <v>#VALUE!</v>
      </c>
      <c r="K196">
        <v>1002.99</v>
      </c>
    </row>
    <row r="197" spans="1:11" x14ac:dyDescent="0.25">
      <c r="A197">
        <v>10645</v>
      </c>
      <c r="B197" s="63">
        <v>44911</v>
      </c>
      <c r="C197" t="s">
        <v>15</v>
      </c>
      <c r="D197">
        <v>12.99</v>
      </c>
      <c r="E197" t="s">
        <v>10</v>
      </c>
      <c r="F197" t="s">
        <v>23</v>
      </c>
      <c r="G197" t="s">
        <v>21</v>
      </c>
      <c r="H197">
        <v>570</v>
      </c>
      <c r="I197" t="e" vm="5">
        <v>#VALUE!</v>
      </c>
      <c r="J197" t="e" vm="6">
        <v>#VALUE!</v>
      </c>
      <c r="K197">
        <v>7404.3</v>
      </c>
    </row>
    <row r="198" spans="1:11" x14ac:dyDescent="0.25">
      <c r="A198">
        <v>10646</v>
      </c>
      <c r="B198" s="63">
        <v>44911</v>
      </c>
      <c r="C198" t="s">
        <v>18</v>
      </c>
      <c r="D198">
        <v>9.9499999999999993</v>
      </c>
      <c r="E198" t="s">
        <v>10</v>
      </c>
      <c r="F198" t="s">
        <v>23</v>
      </c>
      <c r="G198" t="s">
        <v>21</v>
      </c>
      <c r="H198">
        <v>222</v>
      </c>
      <c r="I198" t="e" vm="5">
        <v>#VALUE!</v>
      </c>
      <c r="J198" t="e" vm="6">
        <v>#VALUE!</v>
      </c>
      <c r="K198">
        <v>2208.8999999999996</v>
      </c>
    </row>
    <row r="199" spans="1:11" x14ac:dyDescent="0.25">
      <c r="A199">
        <v>10647</v>
      </c>
      <c r="B199" s="63">
        <v>44911</v>
      </c>
      <c r="C199" t="s">
        <v>9</v>
      </c>
      <c r="D199">
        <v>3.49</v>
      </c>
      <c r="E199" t="s">
        <v>10</v>
      </c>
      <c r="F199" t="s">
        <v>11</v>
      </c>
      <c r="G199" t="s">
        <v>21</v>
      </c>
      <c r="H199">
        <v>631</v>
      </c>
      <c r="I199" t="e" vm="5">
        <v>#VALUE!</v>
      </c>
      <c r="J199" t="e" vm="6">
        <v>#VALUE!</v>
      </c>
      <c r="K199">
        <v>2202.19</v>
      </c>
    </row>
    <row r="200" spans="1:11" x14ac:dyDescent="0.25">
      <c r="A200">
        <v>10648</v>
      </c>
      <c r="B200" s="63">
        <v>44911</v>
      </c>
      <c r="C200" t="s">
        <v>12</v>
      </c>
      <c r="D200">
        <v>2.95</v>
      </c>
      <c r="E200" t="s">
        <v>10</v>
      </c>
      <c r="F200" t="s">
        <v>11</v>
      </c>
      <c r="G200" t="s">
        <v>21</v>
      </c>
      <c r="H200">
        <v>746</v>
      </c>
      <c r="I200" t="e" vm="5">
        <v>#VALUE!</v>
      </c>
      <c r="J200" t="e" vm="6">
        <v>#VALUE!</v>
      </c>
      <c r="K200">
        <v>2200.7000000000003</v>
      </c>
    </row>
    <row r="201" spans="1:11" x14ac:dyDescent="0.25">
      <c r="A201">
        <v>10649</v>
      </c>
      <c r="B201" s="63">
        <v>44911</v>
      </c>
      <c r="C201" t="s">
        <v>13</v>
      </c>
      <c r="D201">
        <v>4.99</v>
      </c>
      <c r="E201" t="s">
        <v>10</v>
      </c>
      <c r="F201" t="s">
        <v>11</v>
      </c>
      <c r="G201" t="s">
        <v>21</v>
      </c>
      <c r="H201">
        <v>201</v>
      </c>
      <c r="I201" t="e" vm="5">
        <v>#VALUE!</v>
      </c>
      <c r="J201" t="e" vm="6">
        <v>#VALUE!</v>
      </c>
      <c r="K201">
        <v>1002.99</v>
      </c>
    </row>
    <row r="202" spans="1:11" x14ac:dyDescent="0.25">
      <c r="A202">
        <v>10650</v>
      </c>
      <c r="B202" s="63">
        <v>44912</v>
      </c>
      <c r="C202" t="s">
        <v>15</v>
      </c>
      <c r="D202">
        <v>12.99</v>
      </c>
      <c r="E202" t="s">
        <v>10</v>
      </c>
      <c r="F202" t="s">
        <v>11</v>
      </c>
      <c r="G202" t="s">
        <v>21</v>
      </c>
      <c r="H202">
        <v>586</v>
      </c>
      <c r="I202" t="e" vm="5">
        <v>#VALUE!</v>
      </c>
      <c r="J202" t="e" vm="6">
        <v>#VALUE!</v>
      </c>
      <c r="K202">
        <v>7612.14</v>
      </c>
    </row>
    <row r="203" spans="1:11" x14ac:dyDescent="0.25">
      <c r="A203">
        <v>10651</v>
      </c>
      <c r="B203" s="63">
        <v>44912</v>
      </c>
      <c r="C203" t="s">
        <v>18</v>
      </c>
      <c r="D203">
        <v>9.9499999999999993</v>
      </c>
      <c r="E203" t="s">
        <v>10</v>
      </c>
      <c r="F203" t="s">
        <v>11</v>
      </c>
      <c r="G203" t="s">
        <v>21</v>
      </c>
      <c r="H203">
        <v>222</v>
      </c>
      <c r="I203" t="e" vm="5">
        <v>#VALUE!</v>
      </c>
      <c r="J203" t="e" vm="6">
        <v>#VALUE!</v>
      </c>
      <c r="K203">
        <v>2208.8999999999996</v>
      </c>
    </row>
    <row r="204" spans="1:11" x14ac:dyDescent="0.25">
      <c r="A204">
        <v>10652</v>
      </c>
      <c r="B204" s="63">
        <v>44912</v>
      </c>
      <c r="C204" t="s">
        <v>9</v>
      </c>
      <c r="D204">
        <v>3.49</v>
      </c>
      <c r="E204" t="s">
        <v>10</v>
      </c>
      <c r="F204" t="s">
        <v>11</v>
      </c>
      <c r="G204" t="s">
        <v>21</v>
      </c>
      <c r="H204">
        <v>688</v>
      </c>
      <c r="I204" t="e" vm="5">
        <v>#VALUE!</v>
      </c>
      <c r="J204" t="e" vm="6">
        <v>#VALUE!</v>
      </c>
      <c r="K204">
        <v>2401.1200000000003</v>
      </c>
    </row>
    <row r="205" spans="1:11" x14ac:dyDescent="0.25">
      <c r="A205">
        <v>10653</v>
      </c>
      <c r="B205" s="63">
        <v>44912</v>
      </c>
      <c r="C205" t="s">
        <v>12</v>
      </c>
      <c r="D205">
        <v>2.95</v>
      </c>
      <c r="E205" t="s">
        <v>10</v>
      </c>
      <c r="F205" t="s">
        <v>11</v>
      </c>
      <c r="G205" t="s">
        <v>21</v>
      </c>
      <c r="H205">
        <v>746</v>
      </c>
      <c r="I205" t="e" vm="5">
        <v>#VALUE!</v>
      </c>
      <c r="J205" t="e" vm="6">
        <v>#VALUE!</v>
      </c>
      <c r="K205">
        <v>2200.7000000000003</v>
      </c>
    </row>
    <row r="206" spans="1:11" x14ac:dyDescent="0.25">
      <c r="A206">
        <v>10654</v>
      </c>
      <c r="B206" s="63">
        <v>44912</v>
      </c>
      <c r="C206" t="s">
        <v>13</v>
      </c>
      <c r="D206">
        <v>4.99</v>
      </c>
      <c r="E206" t="s">
        <v>10</v>
      </c>
      <c r="F206" t="s">
        <v>11</v>
      </c>
      <c r="G206" t="s">
        <v>21</v>
      </c>
      <c r="H206">
        <v>201</v>
      </c>
      <c r="I206" t="e" vm="5">
        <v>#VALUE!</v>
      </c>
      <c r="J206" t="e" vm="6">
        <v>#VALUE!</v>
      </c>
      <c r="K206">
        <v>1002.99</v>
      </c>
    </row>
    <row r="207" spans="1:11" x14ac:dyDescent="0.25">
      <c r="A207">
        <v>10655</v>
      </c>
      <c r="B207" s="63">
        <v>44913</v>
      </c>
      <c r="C207" t="s">
        <v>15</v>
      </c>
      <c r="D207">
        <v>12.99</v>
      </c>
      <c r="E207" t="s">
        <v>10</v>
      </c>
      <c r="F207" t="s">
        <v>11</v>
      </c>
      <c r="G207" t="s">
        <v>21</v>
      </c>
      <c r="H207">
        <v>601</v>
      </c>
      <c r="I207" t="e" vm="5">
        <v>#VALUE!</v>
      </c>
      <c r="J207" t="e" vm="6">
        <v>#VALUE!</v>
      </c>
      <c r="K207">
        <v>7806.99</v>
      </c>
    </row>
    <row r="208" spans="1:11" x14ac:dyDescent="0.25">
      <c r="A208">
        <v>10656</v>
      </c>
      <c r="B208" s="63">
        <v>44913</v>
      </c>
      <c r="C208" t="s">
        <v>18</v>
      </c>
      <c r="D208">
        <v>9.9499999999999993</v>
      </c>
      <c r="E208" t="s">
        <v>10</v>
      </c>
      <c r="F208" t="s">
        <v>11</v>
      </c>
      <c r="G208" t="s">
        <v>21</v>
      </c>
      <c r="H208">
        <v>222</v>
      </c>
      <c r="I208" t="e" vm="5">
        <v>#VALUE!</v>
      </c>
      <c r="J208" t="e" vm="6">
        <v>#VALUE!</v>
      </c>
      <c r="K208">
        <v>2208.8999999999996</v>
      </c>
    </row>
    <row r="209" spans="1:11" x14ac:dyDescent="0.25">
      <c r="A209">
        <v>10657</v>
      </c>
      <c r="B209" s="63">
        <v>44913</v>
      </c>
      <c r="C209" t="s">
        <v>9</v>
      </c>
      <c r="D209">
        <v>3.49</v>
      </c>
      <c r="E209" t="s">
        <v>10</v>
      </c>
      <c r="F209" t="s">
        <v>11</v>
      </c>
      <c r="G209" t="s">
        <v>21</v>
      </c>
      <c r="H209">
        <v>688</v>
      </c>
      <c r="I209" t="e" vm="5">
        <v>#VALUE!</v>
      </c>
      <c r="J209" t="e" vm="6">
        <v>#VALUE!</v>
      </c>
      <c r="K209">
        <v>2401.1200000000003</v>
      </c>
    </row>
    <row r="210" spans="1:11" x14ac:dyDescent="0.25">
      <c r="A210">
        <v>10658</v>
      </c>
      <c r="B210" s="63">
        <v>44913</v>
      </c>
      <c r="C210" t="s">
        <v>12</v>
      </c>
      <c r="D210">
        <v>2.95</v>
      </c>
      <c r="E210" t="s">
        <v>10</v>
      </c>
      <c r="F210" t="s">
        <v>23</v>
      </c>
      <c r="G210" t="s">
        <v>21</v>
      </c>
      <c r="H210">
        <v>746</v>
      </c>
      <c r="I210" t="e" vm="5">
        <v>#VALUE!</v>
      </c>
      <c r="J210" t="e" vm="6">
        <v>#VALUE!</v>
      </c>
      <c r="K210">
        <v>2200.7000000000003</v>
      </c>
    </row>
    <row r="211" spans="1:11" x14ac:dyDescent="0.25">
      <c r="A211">
        <v>10659</v>
      </c>
      <c r="B211" s="63">
        <v>44913</v>
      </c>
      <c r="C211" t="s">
        <v>13</v>
      </c>
      <c r="D211">
        <v>4.99</v>
      </c>
      <c r="E211" t="s">
        <v>10</v>
      </c>
      <c r="F211" t="s">
        <v>23</v>
      </c>
      <c r="G211" t="s">
        <v>21</v>
      </c>
      <c r="H211">
        <v>201</v>
      </c>
      <c r="I211" t="e" vm="5">
        <v>#VALUE!</v>
      </c>
      <c r="J211" t="e" vm="6">
        <v>#VALUE!</v>
      </c>
      <c r="K211">
        <v>1002.99</v>
      </c>
    </row>
    <row r="212" spans="1:11" x14ac:dyDescent="0.25">
      <c r="A212">
        <v>10660</v>
      </c>
      <c r="B212" s="63">
        <v>44914</v>
      </c>
      <c r="C212" t="s">
        <v>15</v>
      </c>
      <c r="D212">
        <v>12.99</v>
      </c>
      <c r="E212" t="s">
        <v>14</v>
      </c>
      <c r="F212" t="s">
        <v>23</v>
      </c>
      <c r="G212" t="s">
        <v>21</v>
      </c>
      <c r="H212">
        <v>632</v>
      </c>
      <c r="I212" t="e" vm="5">
        <v>#VALUE!</v>
      </c>
      <c r="J212" t="e" vm="6">
        <v>#VALUE!</v>
      </c>
      <c r="K212">
        <v>8209.68</v>
      </c>
    </row>
    <row r="213" spans="1:11" x14ac:dyDescent="0.25">
      <c r="A213">
        <v>10661</v>
      </c>
      <c r="B213" s="63">
        <v>44914</v>
      </c>
      <c r="C213" t="s">
        <v>18</v>
      </c>
      <c r="D213">
        <v>9.9499999999999993</v>
      </c>
      <c r="E213" t="s">
        <v>14</v>
      </c>
      <c r="F213" t="s">
        <v>23</v>
      </c>
      <c r="G213" t="s">
        <v>21</v>
      </c>
      <c r="H213">
        <v>222</v>
      </c>
      <c r="I213" t="e" vm="5">
        <v>#VALUE!</v>
      </c>
      <c r="J213" t="e" vm="6">
        <v>#VALUE!</v>
      </c>
      <c r="K213">
        <v>2208.8999999999996</v>
      </c>
    </row>
    <row r="214" spans="1:11" x14ac:dyDescent="0.25">
      <c r="A214">
        <v>10662</v>
      </c>
      <c r="B214" s="63">
        <v>44914</v>
      </c>
      <c r="C214" t="s">
        <v>9</v>
      </c>
      <c r="D214">
        <v>3.49</v>
      </c>
      <c r="E214" t="s">
        <v>14</v>
      </c>
      <c r="F214" t="s">
        <v>23</v>
      </c>
      <c r="G214" t="s">
        <v>21</v>
      </c>
      <c r="H214">
        <v>631</v>
      </c>
      <c r="I214" t="e" vm="5">
        <v>#VALUE!</v>
      </c>
      <c r="J214" t="e" vm="6">
        <v>#VALUE!</v>
      </c>
      <c r="K214">
        <v>2202.19</v>
      </c>
    </row>
    <row r="215" spans="1:11" x14ac:dyDescent="0.25">
      <c r="A215">
        <v>10663</v>
      </c>
      <c r="B215" s="63">
        <v>44914</v>
      </c>
      <c r="C215" t="s">
        <v>12</v>
      </c>
      <c r="D215">
        <v>2.95</v>
      </c>
      <c r="E215" t="s">
        <v>14</v>
      </c>
      <c r="F215" t="s">
        <v>23</v>
      </c>
      <c r="G215" t="s">
        <v>21</v>
      </c>
      <c r="H215">
        <v>746</v>
      </c>
      <c r="I215" t="e" vm="5">
        <v>#VALUE!</v>
      </c>
      <c r="J215" t="e" vm="6">
        <v>#VALUE!</v>
      </c>
      <c r="K215">
        <v>2200.7000000000003</v>
      </c>
    </row>
    <row r="216" spans="1:11" x14ac:dyDescent="0.25">
      <c r="A216">
        <v>10664</v>
      </c>
      <c r="B216" s="63">
        <v>44914</v>
      </c>
      <c r="C216" t="s">
        <v>13</v>
      </c>
      <c r="D216">
        <v>4.99</v>
      </c>
      <c r="E216" t="s">
        <v>14</v>
      </c>
      <c r="F216" t="s">
        <v>23</v>
      </c>
      <c r="G216" t="s">
        <v>21</v>
      </c>
      <c r="H216">
        <v>201</v>
      </c>
      <c r="I216" t="e" vm="5">
        <v>#VALUE!</v>
      </c>
      <c r="J216" t="e" vm="6">
        <v>#VALUE!</v>
      </c>
      <c r="K216">
        <v>1002.99</v>
      </c>
    </row>
    <row r="217" spans="1:11" x14ac:dyDescent="0.25">
      <c r="A217">
        <v>10665</v>
      </c>
      <c r="B217" s="63">
        <v>44915</v>
      </c>
      <c r="C217" t="s">
        <v>15</v>
      </c>
      <c r="D217">
        <v>12.99</v>
      </c>
      <c r="E217" t="s">
        <v>14</v>
      </c>
      <c r="F217" t="s">
        <v>23</v>
      </c>
      <c r="G217" t="s">
        <v>21</v>
      </c>
      <c r="H217">
        <v>647</v>
      </c>
      <c r="I217" t="e" vm="5">
        <v>#VALUE!</v>
      </c>
      <c r="J217" t="e" vm="6">
        <v>#VALUE!</v>
      </c>
      <c r="K217">
        <v>8404.5300000000007</v>
      </c>
    </row>
    <row r="218" spans="1:11" x14ac:dyDescent="0.25">
      <c r="A218">
        <v>10666</v>
      </c>
      <c r="B218" s="63">
        <v>44915</v>
      </c>
      <c r="C218" t="s">
        <v>18</v>
      </c>
      <c r="D218">
        <v>9.9499999999999993</v>
      </c>
      <c r="E218" t="s">
        <v>14</v>
      </c>
      <c r="F218" t="s">
        <v>23</v>
      </c>
      <c r="G218" t="s">
        <v>21</v>
      </c>
      <c r="H218">
        <v>222</v>
      </c>
      <c r="I218" t="e" vm="5">
        <v>#VALUE!</v>
      </c>
      <c r="J218" t="e" vm="6">
        <v>#VALUE!</v>
      </c>
      <c r="K218">
        <v>2208.8999999999996</v>
      </c>
    </row>
    <row r="219" spans="1:11" x14ac:dyDescent="0.25">
      <c r="A219">
        <v>10667</v>
      </c>
      <c r="B219" s="63">
        <v>44915</v>
      </c>
      <c r="C219" t="s">
        <v>9</v>
      </c>
      <c r="D219">
        <v>3.49</v>
      </c>
      <c r="E219" t="s">
        <v>14</v>
      </c>
      <c r="F219" t="s">
        <v>23</v>
      </c>
      <c r="G219" t="s">
        <v>21</v>
      </c>
      <c r="H219">
        <v>631</v>
      </c>
      <c r="I219" t="e" vm="5">
        <v>#VALUE!</v>
      </c>
      <c r="J219" t="e" vm="6">
        <v>#VALUE!</v>
      </c>
      <c r="K219">
        <v>2202.19</v>
      </c>
    </row>
    <row r="220" spans="1:11" x14ac:dyDescent="0.25">
      <c r="A220">
        <v>10668</v>
      </c>
      <c r="B220" s="63">
        <v>44915</v>
      </c>
      <c r="C220" t="s">
        <v>12</v>
      </c>
      <c r="D220">
        <v>2.95</v>
      </c>
      <c r="E220" t="s">
        <v>14</v>
      </c>
      <c r="F220" t="s">
        <v>23</v>
      </c>
      <c r="G220" t="s">
        <v>21</v>
      </c>
      <c r="H220">
        <v>746</v>
      </c>
      <c r="I220" t="e" vm="5">
        <v>#VALUE!</v>
      </c>
      <c r="J220" t="e" vm="6">
        <v>#VALUE!</v>
      </c>
      <c r="K220">
        <v>2200.7000000000003</v>
      </c>
    </row>
    <row r="221" spans="1:11" x14ac:dyDescent="0.25">
      <c r="A221">
        <v>10669</v>
      </c>
      <c r="B221" s="63">
        <v>44915</v>
      </c>
      <c r="C221" t="s">
        <v>13</v>
      </c>
      <c r="D221">
        <v>4.99</v>
      </c>
      <c r="E221" t="s">
        <v>14</v>
      </c>
      <c r="F221" t="s">
        <v>23</v>
      </c>
      <c r="G221" t="s">
        <v>21</v>
      </c>
      <c r="H221">
        <v>201</v>
      </c>
      <c r="I221" t="e" vm="5">
        <v>#VALUE!</v>
      </c>
      <c r="J221" t="e" vm="6">
        <v>#VALUE!</v>
      </c>
      <c r="K221">
        <v>1002.99</v>
      </c>
    </row>
    <row r="222" spans="1:11" x14ac:dyDescent="0.25">
      <c r="A222">
        <v>10670</v>
      </c>
      <c r="B222" s="63">
        <v>44916</v>
      </c>
      <c r="C222" t="s">
        <v>15</v>
      </c>
      <c r="D222">
        <v>12.99</v>
      </c>
      <c r="E222" t="s">
        <v>14</v>
      </c>
      <c r="F222" t="s">
        <v>23</v>
      </c>
      <c r="G222" t="s">
        <v>21</v>
      </c>
      <c r="H222">
        <v>678</v>
      </c>
      <c r="I222" t="e" vm="5">
        <v>#VALUE!</v>
      </c>
      <c r="J222" t="e" vm="6">
        <v>#VALUE!</v>
      </c>
      <c r="K222">
        <v>8807.2199999999993</v>
      </c>
    </row>
    <row r="223" spans="1:11" x14ac:dyDescent="0.25">
      <c r="A223">
        <v>10671</v>
      </c>
      <c r="B223" s="63">
        <v>44916</v>
      </c>
      <c r="C223" t="s">
        <v>18</v>
      </c>
      <c r="D223">
        <v>9.9499999999999993</v>
      </c>
      <c r="E223" t="s">
        <v>14</v>
      </c>
      <c r="F223" t="s">
        <v>23</v>
      </c>
      <c r="G223" t="s">
        <v>21</v>
      </c>
      <c r="H223">
        <v>222</v>
      </c>
      <c r="I223" t="e" vm="5">
        <v>#VALUE!</v>
      </c>
      <c r="J223" t="e" vm="6">
        <v>#VALUE!</v>
      </c>
      <c r="K223">
        <v>2208.8999999999996</v>
      </c>
    </row>
    <row r="224" spans="1:11" x14ac:dyDescent="0.25">
      <c r="A224">
        <v>10672</v>
      </c>
      <c r="B224" s="63">
        <v>44916</v>
      </c>
      <c r="C224" t="s">
        <v>9</v>
      </c>
      <c r="D224">
        <v>3.49</v>
      </c>
      <c r="E224" t="s">
        <v>14</v>
      </c>
      <c r="F224" t="s">
        <v>23</v>
      </c>
      <c r="G224" t="s">
        <v>21</v>
      </c>
      <c r="H224">
        <v>631</v>
      </c>
      <c r="I224" t="e" vm="5">
        <v>#VALUE!</v>
      </c>
      <c r="J224" t="e" vm="6">
        <v>#VALUE!</v>
      </c>
      <c r="K224">
        <v>2202.19</v>
      </c>
    </row>
    <row r="225" spans="1:11" x14ac:dyDescent="0.25">
      <c r="A225">
        <v>10673</v>
      </c>
      <c r="B225" s="63">
        <v>44916</v>
      </c>
      <c r="C225" t="s">
        <v>12</v>
      </c>
      <c r="D225">
        <v>2.95</v>
      </c>
      <c r="E225" t="s">
        <v>14</v>
      </c>
      <c r="F225" t="s">
        <v>23</v>
      </c>
      <c r="G225" t="s">
        <v>21</v>
      </c>
      <c r="H225">
        <v>746</v>
      </c>
      <c r="I225" t="e" vm="5">
        <v>#VALUE!</v>
      </c>
      <c r="J225" t="e" vm="6">
        <v>#VALUE!</v>
      </c>
      <c r="K225">
        <v>2200.7000000000003</v>
      </c>
    </row>
    <row r="226" spans="1:11" x14ac:dyDescent="0.25">
      <c r="A226">
        <v>10674</v>
      </c>
      <c r="B226" s="63">
        <v>44916</v>
      </c>
      <c r="C226" t="s">
        <v>13</v>
      </c>
      <c r="D226">
        <v>4.99</v>
      </c>
      <c r="E226" t="s">
        <v>14</v>
      </c>
      <c r="F226" t="s">
        <v>23</v>
      </c>
      <c r="G226" t="s">
        <v>21</v>
      </c>
      <c r="H226">
        <v>201</v>
      </c>
      <c r="I226" t="e" vm="5">
        <v>#VALUE!</v>
      </c>
      <c r="J226" t="e" vm="6">
        <v>#VALUE!</v>
      </c>
      <c r="K226">
        <v>1002.99</v>
      </c>
    </row>
    <row r="227" spans="1:11" x14ac:dyDescent="0.25">
      <c r="A227">
        <v>10675</v>
      </c>
      <c r="B227" s="63">
        <v>44917</v>
      </c>
      <c r="C227" t="s">
        <v>15</v>
      </c>
      <c r="D227">
        <v>12.99</v>
      </c>
      <c r="E227" t="s">
        <v>14</v>
      </c>
      <c r="F227" t="s">
        <v>23</v>
      </c>
      <c r="G227" t="s">
        <v>21</v>
      </c>
      <c r="H227">
        <v>678</v>
      </c>
      <c r="I227" t="e" vm="5">
        <v>#VALUE!</v>
      </c>
      <c r="J227" t="e" vm="6">
        <v>#VALUE!</v>
      </c>
      <c r="K227">
        <v>8807.2199999999993</v>
      </c>
    </row>
    <row r="228" spans="1:11" x14ac:dyDescent="0.25">
      <c r="A228">
        <v>10676</v>
      </c>
      <c r="B228" s="63">
        <v>44917</v>
      </c>
      <c r="C228" t="s">
        <v>18</v>
      </c>
      <c r="D228">
        <v>9.9499999999999993</v>
      </c>
      <c r="E228" t="s">
        <v>14</v>
      </c>
      <c r="F228" t="s">
        <v>23</v>
      </c>
      <c r="G228" t="s">
        <v>21</v>
      </c>
      <c r="H228">
        <v>242</v>
      </c>
      <c r="I228" t="e" vm="5">
        <v>#VALUE!</v>
      </c>
      <c r="J228" t="e" vm="6">
        <v>#VALUE!</v>
      </c>
      <c r="K228">
        <v>2407.8999999999996</v>
      </c>
    </row>
    <row r="229" spans="1:11" x14ac:dyDescent="0.25">
      <c r="A229">
        <v>10677</v>
      </c>
      <c r="B229" s="63">
        <v>44917</v>
      </c>
      <c r="C229" t="s">
        <v>9</v>
      </c>
      <c r="D229">
        <v>3.49</v>
      </c>
      <c r="E229" t="s">
        <v>14</v>
      </c>
      <c r="F229" t="s">
        <v>23</v>
      </c>
      <c r="G229" t="s">
        <v>21</v>
      </c>
      <c r="H229">
        <v>631</v>
      </c>
      <c r="I229" t="e" vm="5">
        <v>#VALUE!</v>
      </c>
      <c r="J229" t="e" vm="6">
        <v>#VALUE!</v>
      </c>
      <c r="K229">
        <v>2202.19</v>
      </c>
    </row>
    <row r="230" spans="1:11" x14ac:dyDescent="0.25">
      <c r="A230">
        <v>10678</v>
      </c>
      <c r="B230" s="63">
        <v>44917</v>
      </c>
      <c r="C230" t="s">
        <v>12</v>
      </c>
      <c r="D230">
        <v>2.95</v>
      </c>
      <c r="E230" t="s">
        <v>14</v>
      </c>
      <c r="F230" t="s">
        <v>23</v>
      </c>
      <c r="G230" t="s">
        <v>21</v>
      </c>
      <c r="H230">
        <v>746</v>
      </c>
      <c r="I230" t="e" vm="5">
        <v>#VALUE!</v>
      </c>
      <c r="J230" t="e" vm="6">
        <v>#VALUE!</v>
      </c>
      <c r="K230">
        <v>2200.7000000000003</v>
      </c>
    </row>
    <row r="231" spans="1:11" x14ac:dyDescent="0.25">
      <c r="A231">
        <v>10679</v>
      </c>
      <c r="B231" s="63">
        <v>44917</v>
      </c>
      <c r="C231" t="s">
        <v>13</v>
      </c>
      <c r="D231">
        <v>4.99</v>
      </c>
      <c r="E231" t="s">
        <v>14</v>
      </c>
      <c r="F231" t="s">
        <v>23</v>
      </c>
      <c r="G231" t="s">
        <v>21</v>
      </c>
      <c r="H231">
        <v>201</v>
      </c>
      <c r="I231" t="e" vm="5">
        <v>#VALUE!</v>
      </c>
      <c r="J231" t="e" vm="6">
        <v>#VALUE!</v>
      </c>
      <c r="K231">
        <v>1002.99</v>
      </c>
    </row>
    <row r="232" spans="1:11" x14ac:dyDescent="0.25">
      <c r="A232">
        <v>10680</v>
      </c>
      <c r="B232" s="63">
        <v>44918</v>
      </c>
      <c r="C232" t="s">
        <v>15</v>
      </c>
      <c r="D232">
        <v>12.99</v>
      </c>
      <c r="E232" t="s">
        <v>14</v>
      </c>
      <c r="F232" t="s">
        <v>23</v>
      </c>
      <c r="G232" t="s">
        <v>21</v>
      </c>
      <c r="H232">
        <v>647</v>
      </c>
      <c r="I232" t="e" vm="5">
        <v>#VALUE!</v>
      </c>
      <c r="J232" t="e" vm="6">
        <v>#VALUE!</v>
      </c>
      <c r="K232">
        <v>8404.5300000000007</v>
      </c>
    </row>
    <row r="233" spans="1:11" x14ac:dyDescent="0.25">
      <c r="A233">
        <v>10681</v>
      </c>
      <c r="B233" s="63">
        <v>44918</v>
      </c>
      <c r="C233" t="s">
        <v>18</v>
      </c>
      <c r="D233">
        <v>9.9499999999999993</v>
      </c>
      <c r="E233" t="s">
        <v>14</v>
      </c>
      <c r="F233" t="s">
        <v>23</v>
      </c>
      <c r="G233" t="s">
        <v>21</v>
      </c>
      <c r="H233">
        <v>242</v>
      </c>
      <c r="I233" t="e" vm="5">
        <v>#VALUE!</v>
      </c>
      <c r="J233" t="e" vm="6">
        <v>#VALUE!</v>
      </c>
      <c r="K233">
        <v>2407.8999999999996</v>
      </c>
    </row>
    <row r="234" spans="1:11" x14ac:dyDescent="0.25">
      <c r="A234">
        <v>10682</v>
      </c>
      <c r="B234" s="63">
        <v>44918</v>
      </c>
      <c r="C234" t="s">
        <v>9</v>
      </c>
      <c r="D234">
        <v>3.49</v>
      </c>
      <c r="E234" t="s">
        <v>14</v>
      </c>
      <c r="F234" t="s">
        <v>23</v>
      </c>
      <c r="G234" t="s">
        <v>21</v>
      </c>
      <c r="H234">
        <v>631</v>
      </c>
      <c r="I234" t="e" vm="5">
        <v>#VALUE!</v>
      </c>
      <c r="J234" t="e" vm="6">
        <v>#VALUE!</v>
      </c>
      <c r="K234">
        <v>2202.19</v>
      </c>
    </row>
    <row r="235" spans="1:11" x14ac:dyDescent="0.25">
      <c r="A235">
        <v>10683</v>
      </c>
      <c r="B235" s="63">
        <v>44918</v>
      </c>
      <c r="C235" t="s">
        <v>12</v>
      </c>
      <c r="D235">
        <v>2.95</v>
      </c>
      <c r="E235" t="s">
        <v>14</v>
      </c>
      <c r="F235" t="s">
        <v>23</v>
      </c>
      <c r="G235" t="s">
        <v>21</v>
      </c>
      <c r="H235">
        <v>678</v>
      </c>
      <c r="I235" t="e" vm="5">
        <v>#VALUE!</v>
      </c>
      <c r="J235" t="e" vm="6">
        <v>#VALUE!</v>
      </c>
      <c r="K235">
        <v>2000.1000000000001</v>
      </c>
    </row>
    <row r="236" spans="1:11" x14ac:dyDescent="0.25">
      <c r="A236">
        <v>10684</v>
      </c>
      <c r="B236" s="63">
        <v>44918</v>
      </c>
      <c r="C236" t="s">
        <v>13</v>
      </c>
      <c r="D236">
        <v>4.99</v>
      </c>
      <c r="E236" t="s">
        <v>14</v>
      </c>
      <c r="F236" t="s">
        <v>23</v>
      </c>
      <c r="G236" t="s">
        <v>21</v>
      </c>
      <c r="H236">
        <v>201</v>
      </c>
      <c r="I236" t="e" vm="5">
        <v>#VALUE!</v>
      </c>
      <c r="J236" t="e" vm="6">
        <v>#VALUE!</v>
      </c>
      <c r="K236">
        <v>1002.99</v>
      </c>
    </row>
    <row r="237" spans="1:11" x14ac:dyDescent="0.25">
      <c r="A237">
        <v>10685</v>
      </c>
      <c r="B237" s="63">
        <v>44919</v>
      </c>
      <c r="C237" t="s">
        <v>15</v>
      </c>
      <c r="D237">
        <v>12.99</v>
      </c>
      <c r="E237" t="s">
        <v>14</v>
      </c>
      <c r="F237" t="s">
        <v>23</v>
      </c>
      <c r="G237" t="s">
        <v>21</v>
      </c>
      <c r="H237">
        <v>678</v>
      </c>
      <c r="I237" t="e" vm="5">
        <v>#VALUE!</v>
      </c>
      <c r="J237" t="e" vm="6">
        <v>#VALUE!</v>
      </c>
      <c r="K237">
        <v>8807.2199999999993</v>
      </c>
    </row>
    <row r="238" spans="1:11" x14ac:dyDescent="0.25">
      <c r="A238">
        <v>10686</v>
      </c>
      <c r="B238" s="63">
        <v>44919</v>
      </c>
      <c r="C238" t="s">
        <v>18</v>
      </c>
      <c r="D238">
        <v>9.9499999999999993</v>
      </c>
      <c r="E238" t="s">
        <v>14</v>
      </c>
      <c r="F238" t="s">
        <v>23</v>
      </c>
      <c r="G238" t="s">
        <v>21</v>
      </c>
      <c r="H238">
        <v>242</v>
      </c>
      <c r="I238" t="e" vm="5">
        <v>#VALUE!</v>
      </c>
      <c r="J238" t="e" vm="6">
        <v>#VALUE!</v>
      </c>
      <c r="K238">
        <v>2407.8999999999996</v>
      </c>
    </row>
    <row r="239" spans="1:11" x14ac:dyDescent="0.25">
      <c r="A239">
        <v>10687</v>
      </c>
      <c r="B239" s="63">
        <v>44919</v>
      </c>
      <c r="C239" t="s">
        <v>9</v>
      </c>
      <c r="D239">
        <v>3.49</v>
      </c>
      <c r="E239" t="s">
        <v>14</v>
      </c>
      <c r="F239" t="s">
        <v>23</v>
      </c>
      <c r="G239" t="s">
        <v>17</v>
      </c>
      <c r="H239">
        <v>631</v>
      </c>
      <c r="I239" t="e" vm="7">
        <v>#VALUE!</v>
      </c>
      <c r="J239" t="e" vm="8">
        <v>#VALUE!</v>
      </c>
      <c r="K239">
        <v>2202.19</v>
      </c>
    </row>
    <row r="240" spans="1:11" x14ac:dyDescent="0.25">
      <c r="A240">
        <v>10688</v>
      </c>
      <c r="B240" s="63">
        <v>44919</v>
      </c>
      <c r="C240" t="s">
        <v>12</v>
      </c>
      <c r="D240">
        <v>2.95</v>
      </c>
      <c r="E240" t="s">
        <v>14</v>
      </c>
      <c r="F240" t="s">
        <v>23</v>
      </c>
      <c r="G240" t="s">
        <v>17</v>
      </c>
      <c r="H240">
        <v>678</v>
      </c>
      <c r="I240" t="e" vm="7">
        <v>#VALUE!</v>
      </c>
      <c r="J240" t="e" vm="8">
        <v>#VALUE!</v>
      </c>
      <c r="K240">
        <v>2000.1000000000001</v>
      </c>
    </row>
    <row r="241" spans="1:11" x14ac:dyDescent="0.25">
      <c r="A241">
        <v>10689</v>
      </c>
      <c r="B241" s="63">
        <v>44919</v>
      </c>
      <c r="C241" t="s">
        <v>13</v>
      </c>
      <c r="D241">
        <v>4.99</v>
      </c>
      <c r="E241" t="s">
        <v>14</v>
      </c>
      <c r="F241" t="s">
        <v>23</v>
      </c>
      <c r="G241" t="s">
        <v>17</v>
      </c>
      <c r="H241">
        <v>201</v>
      </c>
      <c r="I241" t="e" vm="7">
        <v>#VALUE!</v>
      </c>
      <c r="J241" t="e" vm="8">
        <v>#VALUE!</v>
      </c>
      <c r="K241">
        <v>1002.99</v>
      </c>
    </row>
    <row r="242" spans="1:11" x14ac:dyDescent="0.25">
      <c r="A242">
        <v>10690</v>
      </c>
      <c r="B242" s="63">
        <v>44920</v>
      </c>
      <c r="C242" t="s">
        <v>15</v>
      </c>
      <c r="D242">
        <v>12.99</v>
      </c>
      <c r="E242" t="s">
        <v>14</v>
      </c>
      <c r="F242" t="s">
        <v>23</v>
      </c>
      <c r="G242" t="s">
        <v>17</v>
      </c>
      <c r="H242">
        <v>678</v>
      </c>
      <c r="I242" t="e" vm="7">
        <v>#VALUE!</v>
      </c>
      <c r="J242" t="e" vm="8">
        <v>#VALUE!</v>
      </c>
      <c r="K242">
        <v>8807.2199999999993</v>
      </c>
    </row>
    <row r="243" spans="1:11" x14ac:dyDescent="0.25">
      <c r="A243">
        <v>10691</v>
      </c>
      <c r="B243" s="63">
        <v>44920</v>
      </c>
      <c r="C243" t="s">
        <v>18</v>
      </c>
      <c r="D243">
        <v>9.9499999999999993</v>
      </c>
      <c r="E243" t="s">
        <v>14</v>
      </c>
      <c r="F243" t="s">
        <v>23</v>
      </c>
      <c r="G243" t="s">
        <v>17</v>
      </c>
      <c r="H243">
        <v>262</v>
      </c>
      <c r="I243" t="e" vm="7">
        <v>#VALUE!</v>
      </c>
      <c r="J243" t="e" vm="8">
        <v>#VALUE!</v>
      </c>
      <c r="K243">
        <v>2606.8999999999996</v>
      </c>
    </row>
    <row r="244" spans="1:11" x14ac:dyDescent="0.25">
      <c r="A244">
        <v>10692</v>
      </c>
      <c r="B244" s="63">
        <v>44920</v>
      </c>
      <c r="C244" t="s">
        <v>9</v>
      </c>
      <c r="D244">
        <v>3.49</v>
      </c>
      <c r="E244" t="s">
        <v>14</v>
      </c>
      <c r="F244" t="s">
        <v>23</v>
      </c>
      <c r="G244" t="s">
        <v>17</v>
      </c>
      <c r="H244">
        <v>631</v>
      </c>
      <c r="I244" t="e" vm="7">
        <v>#VALUE!</v>
      </c>
      <c r="J244" t="e" vm="8">
        <v>#VALUE!</v>
      </c>
      <c r="K244">
        <v>2202.19</v>
      </c>
    </row>
    <row r="245" spans="1:11" x14ac:dyDescent="0.25">
      <c r="A245">
        <v>10693</v>
      </c>
      <c r="B245" s="63">
        <v>44920</v>
      </c>
      <c r="C245" t="s">
        <v>12</v>
      </c>
      <c r="D245">
        <v>2.95</v>
      </c>
      <c r="E245" t="s">
        <v>14</v>
      </c>
      <c r="F245" t="s">
        <v>23</v>
      </c>
      <c r="G245" t="s">
        <v>17</v>
      </c>
      <c r="H245">
        <v>678</v>
      </c>
      <c r="I245" t="e" vm="7">
        <v>#VALUE!</v>
      </c>
      <c r="J245" t="e" vm="8">
        <v>#VALUE!</v>
      </c>
      <c r="K245">
        <v>2000.1000000000001</v>
      </c>
    </row>
    <row r="246" spans="1:11" x14ac:dyDescent="0.25">
      <c r="A246">
        <v>10694</v>
      </c>
      <c r="B246" s="63">
        <v>44920</v>
      </c>
      <c r="C246" t="s">
        <v>13</v>
      </c>
      <c r="D246">
        <v>4.99</v>
      </c>
      <c r="E246" t="s">
        <v>14</v>
      </c>
      <c r="F246" t="s">
        <v>23</v>
      </c>
      <c r="G246" t="s">
        <v>17</v>
      </c>
      <c r="H246">
        <v>201</v>
      </c>
      <c r="I246" t="e" vm="7">
        <v>#VALUE!</v>
      </c>
      <c r="J246" t="e" vm="8">
        <v>#VALUE!</v>
      </c>
      <c r="K246">
        <v>1002.99</v>
      </c>
    </row>
    <row r="247" spans="1:11" x14ac:dyDescent="0.25">
      <c r="A247">
        <v>10695</v>
      </c>
      <c r="B247" s="63">
        <v>44921</v>
      </c>
      <c r="C247" t="s">
        <v>15</v>
      </c>
      <c r="D247">
        <v>12.99</v>
      </c>
      <c r="E247" t="s">
        <v>14</v>
      </c>
      <c r="F247" t="s">
        <v>23</v>
      </c>
      <c r="G247" t="s">
        <v>17</v>
      </c>
      <c r="H247">
        <v>693</v>
      </c>
      <c r="I247" t="e" vm="7">
        <v>#VALUE!</v>
      </c>
      <c r="J247" t="e" vm="8">
        <v>#VALUE!</v>
      </c>
      <c r="K247">
        <v>9002.07</v>
      </c>
    </row>
    <row r="248" spans="1:11" x14ac:dyDescent="0.25">
      <c r="A248">
        <v>10696</v>
      </c>
      <c r="B248" s="63">
        <v>44921</v>
      </c>
      <c r="C248" t="s">
        <v>18</v>
      </c>
      <c r="D248">
        <v>9.9499999999999993</v>
      </c>
      <c r="E248" t="s">
        <v>14</v>
      </c>
      <c r="F248" t="s">
        <v>23</v>
      </c>
      <c r="G248" t="s">
        <v>17</v>
      </c>
      <c r="H248">
        <v>282</v>
      </c>
      <c r="I248" t="e" vm="7">
        <v>#VALUE!</v>
      </c>
      <c r="J248" t="e" vm="8">
        <v>#VALUE!</v>
      </c>
      <c r="K248">
        <v>2805.8999999999996</v>
      </c>
    </row>
    <row r="249" spans="1:11" x14ac:dyDescent="0.25">
      <c r="A249">
        <v>10697</v>
      </c>
      <c r="B249" s="63">
        <v>44921</v>
      </c>
      <c r="C249" t="s">
        <v>9</v>
      </c>
      <c r="D249">
        <v>3.49</v>
      </c>
      <c r="E249" t="s">
        <v>14</v>
      </c>
      <c r="F249" t="s">
        <v>23</v>
      </c>
      <c r="G249" t="s">
        <v>17</v>
      </c>
      <c r="H249">
        <v>631</v>
      </c>
      <c r="I249" t="e" vm="7">
        <v>#VALUE!</v>
      </c>
      <c r="J249" t="e" vm="8">
        <v>#VALUE!</v>
      </c>
      <c r="K249">
        <v>2202.19</v>
      </c>
    </row>
    <row r="250" spans="1:11" x14ac:dyDescent="0.25">
      <c r="A250">
        <v>10698</v>
      </c>
      <c r="B250" s="63">
        <v>44921</v>
      </c>
      <c r="C250" t="s">
        <v>12</v>
      </c>
      <c r="D250">
        <v>2.95</v>
      </c>
      <c r="E250" t="s">
        <v>14</v>
      </c>
      <c r="F250" t="s">
        <v>23</v>
      </c>
      <c r="G250" t="s">
        <v>17</v>
      </c>
      <c r="H250">
        <v>678</v>
      </c>
      <c r="I250" t="e" vm="7">
        <v>#VALUE!</v>
      </c>
      <c r="J250" t="e" vm="8">
        <v>#VALUE!</v>
      </c>
      <c r="K250">
        <v>2000.1000000000001</v>
      </c>
    </row>
    <row r="251" spans="1:11" x14ac:dyDescent="0.25">
      <c r="A251">
        <v>10699</v>
      </c>
      <c r="B251" s="63">
        <v>44921</v>
      </c>
      <c r="C251" t="s">
        <v>13</v>
      </c>
      <c r="D251">
        <v>4.99</v>
      </c>
      <c r="E251" t="s">
        <v>14</v>
      </c>
      <c r="F251" t="s">
        <v>23</v>
      </c>
      <c r="G251" t="s">
        <v>17</v>
      </c>
      <c r="H251">
        <v>201</v>
      </c>
      <c r="I251" t="e" vm="7">
        <v>#VALUE!</v>
      </c>
      <c r="J251" t="e" vm="8">
        <v>#VALUE!</v>
      </c>
      <c r="K251">
        <v>1002.99</v>
      </c>
    </row>
    <row r="252" spans="1:11" x14ac:dyDescent="0.25">
      <c r="A252">
        <v>10700</v>
      </c>
      <c r="B252" s="63">
        <v>44922</v>
      </c>
      <c r="C252" t="s">
        <v>15</v>
      </c>
      <c r="D252">
        <v>12.99</v>
      </c>
      <c r="E252" t="s">
        <v>14</v>
      </c>
      <c r="F252" t="s">
        <v>23</v>
      </c>
      <c r="G252" t="s">
        <v>17</v>
      </c>
      <c r="H252">
        <v>693</v>
      </c>
      <c r="I252" t="e" vm="7">
        <v>#VALUE!</v>
      </c>
      <c r="J252" t="e" vm="8">
        <v>#VALUE!</v>
      </c>
      <c r="K252">
        <v>9002.07</v>
      </c>
    </row>
    <row r="253" spans="1:11" x14ac:dyDescent="0.25">
      <c r="A253">
        <v>10701</v>
      </c>
      <c r="B253" s="63">
        <v>44922</v>
      </c>
      <c r="C253" t="s">
        <v>18</v>
      </c>
      <c r="D253">
        <v>9.9499999999999993</v>
      </c>
      <c r="E253" t="s">
        <v>14</v>
      </c>
      <c r="F253" t="s">
        <v>23</v>
      </c>
      <c r="G253" t="s">
        <v>17</v>
      </c>
      <c r="H253">
        <v>282</v>
      </c>
      <c r="I253" t="e" vm="7">
        <v>#VALUE!</v>
      </c>
      <c r="J253" t="e" vm="8">
        <v>#VALUE!</v>
      </c>
      <c r="K253">
        <v>2805.8999999999996</v>
      </c>
    </row>
    <row r="254" spans="1:11" x14ac:dyDescent="0.25">
      <c r="A254">
        <v>10702</v>
      </c>
      <c r="B254" s="63">
        <v>44922</v>
      </c>
      <c r="C254" t="s">
        <v>9</v>
      </c>
      <c r="D254">
        <v>3.49</v>
      </c>
      <c r="E254" t="s">
        <v>14</v>
      </c>
      <c r="F254" t="s">
        <v>23</v>
      </c>
      <c r="G254" t="s">
        <v>17</v>
      </c>
      <c r="H254">
        <v>631</v>
      </c>
      <c r="I254" t="e" vm="7">
        <v>#VALUE!</v>
      </c>
      <c r="J254" t="e" vm="8">
        <v>#VALUE!</v>
      </c>
      <c r="K254">
        <v>2202.19</v>
      </c>
    </row>
    <row r="255" spans="1:11" x14ac:dyDescent="0.25">
      <c r="A255">
        <v>10703</v>
      </c>
      <c r="B255" s="63">
        <v>44922</v>
      </c>
      <c r="C255" t="s">
        <v>12</v>
      </c>
      <c r="D255">
        <v>2.95</v>
      </c>
      <c r="E255" t="s">
        <v>14</v>
      </c>
      <c r="F255" t="s">
        <v>11</v>
      </c>
      <c r="G255" t="s">
        <v>17</v>
      </c>
      <c r="H255">
        <v>678</v>
      </c>
      <c r="I255" t="e" vm="7">
        <v>#VALUE!</v>
      </c>
      <c r="J255" t="e" vm="8">
        <v>#VALUE!</v>
      </c>
      <c r="K255">
        <v>2000.1000000000001</v>
      </c>
    </row>
    <row r="256" spans="1:11" x14ac:dyDescent="0.25">
      <c r="A256">
        <v>10704</v>
      </c>
      <c r="B256" s="63">
        <v>44922</v>
      </c>
      <c r="C256" t="s">
        <v>13</v>
      </c>
      <c r="D256">
        <v>4.99</v>
      </c>
      <c r="E256" t="s">
        <v>22</v>
      </c>
      <c r="F256" t="s">
        <v>11</v>
      </c>
      <c r="G256" t="s">
        <v>17</v>
      </c>
      <c r="H256">
        <v>201</v>
      </c>
      <c r="I256" t="e" vm="7">
        <v>#VALUE!</v>
      </c>
      <c r="J256" t="e" vm="8">
        <v>#VALUE!</v>
      </c>
      <c r="K256">
        <v>1002.99</v>
      </c>
    </row>
    <row r="257" spans="1:11" x14ac:dyDescent="0.25">
      <c r="A257">
        <v>10705</v>
      </c>
      <c r="B257" s="63">
        <v>44923</v>
      </c>
      <c r="C257" t="s">
        <v>15</v>
      </c>
      <c r="D257">
        <v>12.99</v>
      </c>
      <c r="E257" t="s">
        <v>22</v>
      </c>
      <c r="F257" t="s">
        <v>11</v>
      </c>
      <c r="G257" t="s">
        <v>17</v>
      </c>
      <c r="H257">
        <v>724</v>
      </c>
      <c r="I257" t="e" vm="7">
        <v>#VALUE!</v>
      </c>
      <c r="J257" t="e" vm="8">
        <v>#VALUE!</v>
      </c>
      <c r="K257">
        <v>9404.76</v>
      </c>
    </row>
    <row r="258" spans="1:11" x14ac:dyDescent="0.25">
      <c r="A258">
        <v>10706</v>
      </c>
      <c r="B258" s="63">
        <v>44923</v>
      </c>
      <c r="C258" t="s">
        <v>18</v>
      </c>
      <c r="D258">
        <v>9.9499999999999993</v>
      </c>
      <c r="E258" t="s">
        <v>22</v>
      </c>
      <c r="F258" t="s">
        <v>11</v>
      </c>
      <c r="G258" t="s">
        <v>17</v>
      </c>
      <c r="H258">
        <v>302</v>
      </c>
      <c r="I258" t="e" vm="7">
        <v>#VALUE!</v>
      </c>
      <c r="J258" t="e" vm="8">
        <v>#VALUE!</v>
      </c>
      <c r="K258">
        <v>3004.8999999999996</v>
      </c>
    </row>
    <row r="259" spans="1:11" x14ac:dyDescent="0.25">
      <c r="A259">
        <v>10707</v>
      </c>
      <c r="B259" s="63">
        <v>44923</v>
      </c>
      <c r="C259" t="s">
        <v>9</v>
      </c>
      <c r="D259">
        <v>3.49</v>
      </c>
      <c r="E259" t="s">
        <v>22</v>
      </c>
      <c r="F259" t="s">
        <v>11</v>
      </c>
      <c r="G259" t="s">
        <v>17</v>
      </c>
      <c r="H259">
        <v>631</v>
      </c>
      <c r="I259" t="e" vm="7">
        <v>#VALUE!</v>
      </c>
      <c r="J259" t="e" vm="8">
        <v>#VALUE!</v>
      </c>
      <c r="K259">
        <v>2202.19</v>
      </c>
    </row>
    <row r="260" spans="1:11" x14ac:dyDescent="0.25">
      <c r="A260">
        <v>10708</v>
      </c>
      <c r="B260" s="63">
        <v>44923</v>
      </c>
      <c r="C260" t="s">
        <v>12</v>
      </c>
      <c r="D260">
        <v>2.95</v>
      </c>
      <c r="E260" t="s">
        <v>22</v>
      </c>
      <c r="F260" t="s">
        <v>11</v>
      </c>
      <c r="G260" t="s">
        <v>17</v>
      </c>
      <c r="H260">
        <v>678</v>
      </c>
      <c r="I260" t="e" vm="7">
        <v>#VALUE!</v>
      </c>
      <c r="J260" t="e" vm="8">
        <v>#VALUE!</v>
      </c>
      <c r="K260">
        <v>2000.1000000000001</v>
      </c>
    </row>
    <row r="261" spans="1:11" x14ac:dyDescent="0.25">
      <c r="A261">
        <v>10709</v>
      </c>
      <c r="B261" s="63">
        <v>44923</v>
      </c>
      <c r="C261" t="s">
        <v>13</v>
      </c>
      <c r="D261">
        <v>4.99</v>
      </c>
      <c r="E261" t="s">
        <v>22</v>
      </c>
      <c r="F261" t="s">
        <v>11</v>
      </c>
      <c r="G261" t="s">
        <v>17</v>
      </c>
      <c r="H261">
        <v>201</v>
      </c>
      <c r="I261" t="e" vm="7">
        <v>#VALUE!</v>
      </c>
      <c r="J261" t="e" vm="8">
        <v>#VALUE!</v>
      </c>
      <c r="K261">
        <v>1002.99</v>
      </c>
    </row>
    <row r="262" spans="1:11" x14ac:dyDescent="0.25">
      <c r="A262">
        <v>10710</v>
      </c>
      <c r="B262" s="63">
        <v>44924</v>
      </c>
      <c r="C262" t="s">
        <v>15</v>
      </c>
      <c r="D262">
        <v>12.99</v>
      </c>
      <c r="E262" t="s">
        <v>22</v>
      </c>
      <c r="F262" t="s">
        <v>11</v>
      </c>
      <c r="G262" t="s">
        <v>17</v>
      </c>
      <c r="H262">
        <v>755</v>
      </c>
      <c r="I262" t="e" vm="7">
        <v>#VALUE!</v>
      </c>
      <c r="J262" t="e" vm="8">
        <v>#VALUE!</v>
      </c>
      <c r="K262">
        <v>9807.4500000000007</v>
      </c>
    </row>
    <row r="263" spans="1:11" x14ac:dyDescent="0.25">
      <c r="A263">
        <v>10711</v>
      </c>
      <c r="B263" s="63">
        <v>44924</v>
      </c>
      <c r="C263" t="s">
        <v>18</v>
      </c>
      <c r="D263">
        <v>9.9499999999999993</v>
      </c>
      <c r="E263" t="s">
        <v>22</v>
      </c>
      <c r="F263" t="s">
        <v>11</v>
      </c>
      <c r="G263" t="s">
        <v>17</v>
      </c>
      <c r="H263">
        <v>282</v>
      </c>
      <c r="I263" t="e" vm="7">
        <v>#VALUE!</v>
      </c>
      <c r="J263" t="e" vm="8">
        <v>#VALUE!</v>
      </c>
      <c r="K263">
        <v>2805.8999999999996</v>
      </c>
    </row>
    <row r="264" spans="1:11" x14ac:dyDescent="0.25">
      <c r="A264">
        <v>10712</v>
      </c>
      <c r="B264" s="63">
        <v>44924</v>
      </c>
      <c r="C264" t="s">
        <v>9</v>
      </c>
      <c r="D264">
        <v>3.49</v>
      </c>
      <c r="E264" t="s">
        <v>22</v>
      </c>
      <c r="F264" t="s">
        <v>11</v>
      </c>
      <c r="G264" t="s">
        <v>17</v>
      </c>
      <c r="H264">
        <v>631</v>
      </c>
      <c r="I264" t="e" vm="7">
        <v>#VALUE!</v>
      </c>
      <c r="J264" t="e" vm="8">
        <v>#VALUE!</v>
      </c>
      <c r="K264">
        <v>2202.19</v>
      </c>
    </row>
    <row r="265" spans="1:11" x14ac:dyDescent="0.25">
      <c r="A265">
        <v>10713</v>
      </c>
      <c r="B265" s="63">
        <v>44924</v>
      </c>
      <c r="C265" t="s">
        <v>12</v>
      </c>
      <c r="D265">
        <v>2.95</v>
      </c>
      <c r="E265" t="s">
        <v>22</v>
      </c>
      <c r="F265" t="s">
        <v>11</v>
      </c>
      <c r="G265" t="s">
        <v>17</v>
      </c>
      <c r="H265">
        <v>678</v>
      </c>
      <c r="I265" t="e" vm="7">
        <v>#VALUE!</v>
      </c>
      <c r="J265" t="e" vm="8">
        <v>#VALUE!</v>
      </c>
      <c r="K265">
        <v>2000.1000000000001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N18"/>
  <sheetViews>
    <sheetView showGridLines="0" workbookViewId="0">
      <selection activeCell="D37" sqref="D37"/>
    </sheetView>
  </sheetViews>
  <sheetFormatPr defaultColWidth="10.625" defaultRowHeight="15.75" x14ac:dyDescent="0.25"/>
  <cols>
    <col min="1" max="1" width="4.125" customWidth="1"/>
    <col min="8" max="8" width="17.5" bestFit="1" customWidth="1"/>
    <col min="9" max="10" width="15.125" bestFit="1" customWidth="1"/>
    <col min="11" max="11" width="14.875" bestFit="1" customWidth="1"/>
    <col min="13" max="13" width="18" bestFit="1" customWidth="1"/>
    <col min="14" max="14" width="14.875" bestFit="1" customWidth="1"/>
  </cols>
  <sheetData>
    <row r="2" spans="2:14" x14ac:dyDescent="0.25">
      <c r="B2" s="6" t="s">
        <v>25</v>
      </c>
      <c r="C2" s="6"/>
      <c r="D2" s="6"/>
      <c r="E2" s="6"/>
      <c r="F2" s="6"/>
    </row>
    <row r="3" spans="2:14" x14ac:dyDescent="0.25">
      <c r="H3" s="44" t="s">
        <v>68</v>
      </c>
      <c r="I3" s="44"/>
      <c r="K3" t="s">
        <v>73</v>
      </c>
      <c r="M3" s="44" t="s">
        <v>74</v>
      </c>
      <c r="N3" s="44"/>
    </row>
    <row r="4" spans="2:14" x14ac:dyDescent="0.25">
      <c r="B4" s="7" t="s">
        <v>26</v>
      </c>
      <c r="C4" s="8"/>
      <c r="D4" s="8"/>
      <c r="E4" s="8"/>
      <c r="F4" s="8"/>
      <c r="H4" s="55" t="s">
        <v>2</v>
      </c>
      <c r="I4" t="s">
        <v>67</v>
      </c>
      <c r="K4" t="s">
        <v>69</v>
      </c>
      <c r="M4" s="55" t="s">
        <v>6</v>
      </c>
      <c r="N4" t="s">
        <v>69</v>
      </c>
    </row>
    <row r="5" spans="2:14" x14ac:dyDescent="0.25">
      <c r="B5" s="44" t="s">
        <v>12</v>
      </c>
      <c r="C5" s="44"/>
      <c r="D5" s="44"/>
      <c r="E5" s="44"/>
      <c r="F5" s="44"/>
      <c r="H5" s="14" t="s">
        <v>12</v>
      </c>
      <c r="I5" s="56">
        <v>37090</v>
      </c>
      <c r="K5" s="56">
        <v>821544.3699999986</v>
      </c>
      <c r="M5" s="14" t="s">
        <v>16</v>
      </c>
      <c r="N5" s="58">
        <v>0.50298207265421346</v>
      </c>
    </row>
    <row r="6" spans="2:14" x14ac:dyDescent="0.25">
      <c r="B6" s="7" t="s">
        <v>27</v>
      </c>
      <c r="C6" s="8"/>
      <c r="D6" s="8"/>
      <c r="E6" s="8"/>
      <c r="F6" s="8"/>
      <c r="H6" s="14" t="s">
        <v>9</v>
      </c>
      <c r="I6" s="56">
        <v>33272</v>
      </c>
      <c r="M6" s="14" t="s">
        <v>23</v>
      </c>
      <c r="N6" s="58">
        <v>0.29151699986697005</v>
      </c>
    </row>
    <row r="7" spans="2:14" x14ac:dyDescent="0.25">
      <c r="B7" s="57">
        <v>821544.3699999986</v>
      </c>
      <c r="C7" s="57"/>
      <c r="D7" s="57"/>
      <c r="E7" s="57"/>
      <c r="F7" s="57"/>
      <c r="H7" s="14" t="s">
        <v>15</v>
      </c>
      <c r="I7" s="56">
        <v>29572</v>
      </c>
      <c r="M7" s="14" t="s">
        <v>11</v>
      </c>
      <c r="N7" s="58">
        <v>0.20550092747881654</v>
      </c>
    </row>
    <row r="8" spans="2:14" x14ac:dyDescent="0.25">
      <c r="B8" s="7" t="s">
        <v>28</v>
      </c>
      <c r="C8" s="8"/>
      <c r="D8" s="8"/>
      <c r="E8" s="8"/>
      <c r="F8" s="8"/>
      <c r="H8" s="14" t="s">
        <v>18</v>
      </c>
      <c r="I8" s="56">
        <v>11184</v>
      </c>
      <c r="M8" s="14" t="s">
        <v>66</v>
      </c>
      <c r="N8" s="58">
        <v>1</v>
      </c>
    </row>
    <row r="9" spans="2:14" x14ac:dyDescent="0.25">
      <c r="B9" s="44" t="s">
        <v>71</v>
      </c>
      <c r="C9" s="44"/>
      <c r="D9" s="44"/>
      <c r="E9" s="44"/>
      <c r="F9" s="44"/>
      <c r="H9" s="14" t="s">
        <v>13</v>
      </c>
      <c r="I9" s="56">
        <v>10251</v>
      </c>
    </row>
    <row r="10" spans="2:14" x14ac:dyDescent="0.25">
      <c r="H10" s="14" t="s">
        <v>66</v>
      </c>
      <c r="I10" s="56">
        <v>121369</v>
      </c>
    </row>
    <row r="13" spans="2:14" x14ac:dyDescent="0.25">
      <c r="H13" s="54" t="s">
        <v>72</v>
      </c>
      <c r="I13" s="54"/>
      <c r="J13" s="54"/>
    </row>
    <row r="14" spans="2:14" x14ac:dyDescent="0.25">
      <c r="H14" s="54"/>
      <c r="I14" s="54"/>
      <c r="J14" s="54"/>
    </row>
    <row r="15" spans="2:14" x14ac:dyDescent="0.25">
      <c r="H15" s="54"/>
      <c r="I15" s="54"/>
      <c r="J15" s="54"/>
    </row>
    <row r="16" spans="2:14" x14ac:dyDescent="0.25">
      <c r="H16" s="54"/>
      <c r="I16" s="54"/>
      <c r="J16" s="54"/>
    </row>
    <row r="17" spans="8:10" x14ac:dyDescent="0.25">
      <c r="H17" s="54"/>
      <c r="I17" s="54"/>
      <c r="J17" s="54"/>
    </row>
    <row r="18" spans="8:10" x14ac:dyDescent="0.25">
      <c r="H18" s="54"/>
      <c r="I18" s="54"/>
      <c r="J18" s="54"/>
    </row>
  </sheetData>
  <mergeCells count="6">
    <mergeCell ref="B5:F5"/>
    <mergeCell ref="H3:I3"/>
    <mergeCell ref="B7:F7"/>
    <mergeCell ref="B9:F9"/>
    <mergeCell ref="H13:J18"/>
    <mergeCell ref="M3:N3"/>
  </mergeCells>
  <hyperlinks>
    <hyperlink ref="H13:J18" location="Breakdown!A1" display="These PivotTable examples are to show how to solve each question using the information created and cleaned in the breakdown sheet" xr:uid="{B5095109-2C6A-4A74-9600-7AAA870007A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0F9A-3BB0-4B13-AC80-32D75C949098}">
  <dimension ref="A3:B9"/>
  <sheetViews>
    <sheetView workbookViewId="0">
      <selection activeCell="B5" sqref="B5"/>
    </sheetView>
  </sheetViews>
  <sheetFormatPr defaultRowHeight="15.75" x14ac:dyDescent="0.25"/>
  <cols>
    <col min="1" max="1" width="12.375" bestFit="1" customWidth="1"/>
    <col min="2" max="2" width="14.875" bestFit="1" customWidth="1"/>
  </cols>
  <sheetData>
    <row r="3" spans="1:2" x14ac:dyDescent="0.25">
      <c r="A3" s="55" t="s">
        <v>65</v>
      </c>
      <c r="B3" t="s">
        <v>69</v>
      </c>
    </row>
    <row r="4" spans="1:2" x14ac:dyDescent="0.25">
      <c r="A4" s="14" t="s">
        <v>19</v>
      </c>
      <c r="B4" s="59">
        <v>81931.16</v>
      </c>
    </row>
    <row r="5" spans="1:2" x14ac:dyDescent="0.25">
      <c r="A5" s="14" t="s">
        <v>17</v>
      </c>
      <c r="B5" s="59">
        <v>100698.95000000001</v>
      </c>
    </row>
    <row r="6" spans="1:2" x14ac:dyDescent="0.25">
      <c r="A6" s="14" t="s">
        <v>20</v>
      </c>
      <c r="B6" s="59">
        <v>143836.02000000005</v>
      </c>
    </row>
    <row r="7" spans="1:2" x14ac:dyDescent="0.25">
      <c r="A7" s="14" t="s">
        <v>24</v>
      </c>
      <c r="B7" s="59">
        <v>211522.87999999995</v>
      </c>
    </row>
    <row r="8" spans="1:2" x14ac:dyDescent="0.25">
      <c r="A8" s="14" t="s">
        <v>21</v>
      </c>
      <c r="B8" s="59">
        <v>283555.36</v>
      </c>
    </row>
    <row r="9" spans="1:2" x14ac:dyDescent="0.25">
      <c r="A9" s="14" t="s">
        <v>66</v>
      </c>
      <c r="B9" s="59">
        <v>821544.36999999988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2034-479F-48E3-9993-F3176F0EADFF}">
  <dimension ref="A3:B9"/>
  <sheetViews>
    <sheetView workbookViewId="0">
      <selection activeCell="B5" sqref="B5"/>
    </sheetView>
  </sheetViews>
  <sheetFormatPr defaultRowHeight="15.75" x14ac:dyDescent="0.25"/>
  <cols>
    <col min="1" max="1" width="17.5" bestFit="1" customWidth="1"/>
    <col min="2" max="2" width="14.875" bestFit="1" customWidth="1"/>
  </cols>
  <sheetData>
    <row r="3" spans="1:2" x14ac:dyDescent="0.25">
      <c r="A3" s="55" t="s">
        <v>65</v>
      </c>
      <c r="B3" t="s">
        <v>69</v>
      </c>
    </row>
    <row r="4" spans="1:2" x14ac:dyDescent="0.25">
      <c r="A4" s="14" t="s">
        <v>15</v>
      </c>
      <c r="B4" s="59">
        <v>123561.93000000001</v>
      </c>
    </row>
    <row r="5" spans="1:2" x14ac:dyDescent="0.25">
      <c r="A5" s="14" t="s">
        <v>12</v>
      </c>
      <c r="B5" s="59">
        <v>56129.559999999983</v>
      </c>
    </row>
    <row r="6" spans="1:2" x14ac:dyDescent="0.25">
      <c r="A6" s="14" t="s">
        <v>9</v>
      </c>
      <c r="B6" s="59">
        <v>47716.880000000012</v>
      </c>
    </row>
    <row r="7" spans="1:2" x14ac:dyDescent="0.25">
      <c r="A7" s="14" t="s">
        <v>18</v>
      </c>
      <c r="B7" s="59">
        <v>36792.700000000012</v>
      </c>
    </row>
    <row r="8" spans="1:2" x14ac:dyDescent="0.25">
      <c r="A8" s="14" t="s">
        <v>13</v>
      </c>
      <c r="B8" s="59">
        <v>19354.29</v>
      </c>
    </row>
    <row r="9" spans="1:2" x14ac:dyDescent="0.25">
      <c r="A9" s="14" t="s">
        <v>66</v>
      </c>
      <c r="B9" s="59">
        <v>283555.36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B0C1-7912-4C19-AE2E-91E268A5554C}">
  <dimension ref="A3:B25"/>
  <sheetViews>
    <sheetView workbookViewId="0">
      <selection activeCell="A5" sqref="A5"/>
    </sheetView>
  </sheetViews>
  <sheetFormatPr defaultRowHeight="15.75" x14ac:dyDescent="0.25"/>
  <cols>
    <col min="1" max="1" width="12.375" bestFit="1" customWidth="1"/>
    <col min="2" max="2" width="14.875" bestFit="1" customWidth="1"/>
  </cols>
  <sheetData>
    <row r="3" spans="1:2" x14ac:dyDescent="0.25">
      <c r="A3" s="55" t="s">
        <v>65</v>
      </c>
      <c r="B3" t="s">
        <v>69</v>
      </c>
    </row>
    <row r="4" spans="1:2" x14ac:dyDescent="0.25">
      <c r="A4" s="14" t="s">
        <v>75</v>
      </c>
      <c r="B4" s="59">
        <v>98708.14</v>
      </c>
    </row>
    <row r="5" spans="1:2" x14ac:dyDescent="0.25">
      <c r="A5" s="9" t="s">
        <v>77</v>
      </c>
      <c r="B5" s="59">
        <v>1002.99</v>
      </c>
    </row>
    <row r="6" spans="1:2" x14ac:dyDescent="0.25">
      <c r="A6" s="9" t="s">
        <v>78</v>
      </c>
      <c r="B6" s="59">
        <v>45926.19</v>
      </c>
    </row>
    <row r="7" spans="1:2" x14ac:dyDescent="0.25">
      <c r="A7" s="9" t="s">
        <v>79</v>
      </c>
      <c r="B7" s="59">
        <v>31543.909999999996</v>
      </c>
    </row>
    <row r="8" spans="1:2" x14ac:dyDescent="0.25">
      <c r="A8" s="9" t="s">
        <v>80</v>
      </c>
      <c r="B8" s="59">
        <v>7414.1100000000006</v>
      </c>
    </row>
    <row r="9" spans="1:2" x14ac:dyDescent="0.25">
      <c r="A9" s="9" t="s">
        <v>81</v>
      </c>
      <c r="B9" s="59">
        <v>8219.1200000000008</v>
      </c>
    </row>
    <row r="10" spans="1:2" x14ac:dyDescent="0.25">
      <c r="A10" s="9" t="s">
        <v>82</v>
      </c>
      <c r="B10" s="59">
        <v>4601.8200000000006</v>
      </c>
    </row>
    <row r="11" spans="1:2" x14ac:dyDescent="0.25">
      <c r="A11" s="14" t="s">
        <v>76</v>
      </c>
      <c r="B11" s="59">
        <v>184847.22</v>
      </c>
    </row>
    <row r="12" spans="1:2" x14ac:dyDescent="0.25">
      <c r="A12" s="9" t="s">
        <v>83</v>
      </c>
      <c r="B12" s="59">
        <v>3003.09</v>
      </c>
    </row>
    <row r="13" spans="1:2" x14ac:dyDescent="0.25">
      <c r="A13" s="9" t="s">
        <v>84</v>
      </c>
      <c r="B13" s="59">
        <v>14619.48</v>
      </c>
    </row>
    <row r="14" spans="1:2" x14ac:dyDescent="0.25">
      <c r="A14" s="9" t="s">
        <v>85</v>
      </c>
      <c r="B14" s="59">
        <v>14623.630000000001</v>
      </c>
    </row>
    <row r="15" spans="1:2" x14ac:dyDescent="0.25">
      <c r="A15" s="9" t="s">
        <v>86</v>
      </c>
      <c r="B15" s="59">
        <v>14415.79</v>
      </c>
    </row>
    <row r="16" spans="1:2" x14ac:dyDescent="0.25">
      <c r="A16" s="9" t="s">
        <v>87</v>
      </c>
      <c r="B16" s="59">
        <v>15019.080000000002</v>
      </c>
    </row>
    <row r="17" spans="1:2" x14ac:dyDescent="0.25">
      <c r="A17" s="9" t="s">
        <v>88</v>
      </c>
      <c r="B17" s="59">
        <v>15425.850000000002</v>
      </c>
    </row>
    <row r="18" spans="1:2" x14ac:dyDescent="0.25">
      <c r="A18" s="9" t="s">
        <v>89</v>
      </c>
      <c r="B18" s="59">
        <v>15620.7</v>
      </c>
    </row>
    <row r="19" spans="1:2" x14ac:dyDescent="0.25">
      <c r="A19" s="9" t="s">
        <v>90</v>
      </c>
      <c r="B19" s="59">
        <v>15824.460000000001</v>
      </c>
    </row>
    <row r="20" spans="1:2" x14ac:dyDescent="0.25">
      <c r="A20" s="9" t="s">
        <v>91</v>
      </c>
      <c r="B20" s="59">
        <v>16019.310000000001</v>
      </c>
    </row>
    <row r="21" spans="1:2" x14ac:dyDescent="0.25">
      <c r="A21" s="9" t="s">
        <v>92</v>
      </c>
      <c r="B21" s="59">
        <v>16422</v>
      </c>
    </row>
    <row r="22" spans="1:2" x14ac:dyDescent="0.25">
      <c r="A22" s="9" t="s">
        <v>93</v>
      </c>
      <c r="B22" s="59">
        <v>16621</v>
      </c>
    </row>
    <row r="23" spans="1:2" x14ac:dyDescent="0.25">
      <c r="A23" s="9" t="s">
        <v>94</v>
      </c>
      <c r="B23" s="59">
        <v>16017.710000000001</v>
      </c>
    </row>
    <row r="24" spans="1:2" x14ac:dyDescent="0.25">
      <c r="A24" s="9" t="s">
        <v>95</v>
      </c>
      <c r="B24" s="59">
        <v>11215.119999999999</v>
      </c>
    </row>
    <row r="25" spans="1:2" x14ac:dyDescent="0.25">
      <c r="A25" s="14" t="s">
        <v>66</v>
      </c>
      <c r="B25" s="59">
        <v>283555.36000000004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515C-6D5A-4E25-B522-94BC7AE01F82}">
  <dimension ref="A3:C7"/>
  <sheetViews>
    <sheetView workbookViewId="0">
      <selection activeCell="F22" sqref="F22"/>
    </sheetView>
  </sheetViews>
  <sheetFormatPr defaultRowHeight="15.75" x14ac:dyDescent="0.25"/>
  <cols>
    <col min="1" max="1" width="12.375" bestFit="1" customWidth="1"/>
    <col min="2" max="2" width="15.875" bestFit="1" customWidth="1"/>
    <col min="3" max="3" width="14.875" bestFit="1" customWidth="1"/>
  </cols>
  <sheetData>
    <row r="3" spans="1:3" x14ac:dyDescent="0.25">
      <c r="A3" s="55" t="s">
        <v>65</v>
      </c>
      <c r="B3" t="s">
        <v>96</v>
      </c>
      <c r="C3" t="s">
        <v>69</v>
      </c>
    </row>
    <row r="4" spans="1:3" x14ac:dyDescent="0.25">
      <c r="A4" s="14" t="s">
        <v>11</v>
      </c>
      <c r="B4" s="58">
        <v>1</v>
      </c>
      <c r="C4" s="58">
        <v>0.2408846723969528</v>
      </c>
    </row>
    <row r="5" spans="1:3" x14ac:dyDescent="0.25">
      <c r="A5" s="14" t="s">
        <v>16</v>
      </c>
      <c r="B5" s="58">
        <v>1</v>
      </c>
      <c r="C5" s="58">
        <v>0.28876590447805323</v>
      </c>
    </row>
    <row r="6" spans="1:3" x14ac:dyDescent="0.25">
      <c r="A6" s="14" t="s">
        <v>23</v>
      </c>
      <c r="B6" s="58">
        <v>1</v>
      </c>
      <c r="C6" s="58">
        <v>0.47034942312499406</v>
      </c>
    </row>
    <row r="7" spans="1:3" x14ac:dyDescent="0.25">
      <c r="A7" s="14" t="s">
        <v>66</v>
      </c>
      <c r="B7" s="58">
        <v>1</v>
      </c>
      <c r="C7" s="5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5FBF-3E34-45D6-B463-8C97A571ADC8}">
  <dimension ref="A1:K61"/>
  <sheetViews>
    <sheetView workbookViewId="0">
      <selection activeCell="B17" activeCellId="1" sqref="C21 B17"/>
    </sheetView>
  </sheetViews>
  <sheetFormatPr defaultRowHeight="15.75" x14ac:dyDescent="0.25"/>
  <cols>
    <col min="1" max="1" width="10.125" bestFit="1" customWidth="1"/>
    <col min="2" max="2" width="16.25" bestFit="1" customWidth="1"/>
    <col min="3" max="3" width="17.5" bestFit="1" customWidth="1"/>
    <col min="4" max="4" width="9.125" bestFit="1" customWidth="1"/>
    <col min="5" max="5" width="15.375" bestFit="1" customWidth="1"/>
    <col min="6" max="6" width="18" bestFit="1" customWidth="1"/>
    <col min="7" max="7" width="12.125" bestFit="1" customWidth="1"/>
    <col min="8" max="8" width="10.5" bestFit="1" customWidth="1"/>
    <col min="9" max="9" width="9.125" bestFit="1" customWidth="1"/>
    <col min="10" max="10" width="16.25" bestFit="1" customWidth="1"/>
    <col min="11" max="11" width="10.25" bestFit="1" customWidth="1"/>
  </cols>
  <sheetData>
    <row r="1" spans="1:11" x14ac:dyDescent="0.25">
      <c r="A1" s="10" t="s">
        <v>97</v>
      </c>
    </row>
    <row r="3" spans="1:11" x14ac:dyDescent="0.25">
      <c r="A3" t="s">
        <v>0</v>
      </c>
      <c r="B3" t="s">
        <v>1</v>
      </c>
      <c r="C3" t="s">
        <v>2</v>
      </c>
      <c r="D3" t="s">
        <v>3</v>
      </c>
      <c r="E3" t="s">
        <v>5</v>
      </c>
      <c r="F3" t="s">
        <v>6</v>
      </c>
      <c r="G3" t="s">
        <v>7</v>
      </c>
      <c r="H3" t="s">
        <v>4</v>
      </c>
      <c r="I3" t="s">
        <v>8</v>
      </c>
      <c r="J3" t="s">
        <v>45</v>
      </c>
      <c r="K3" t="s">
        <v>32</v>
      </c>
    </row>
    <row r="4" spans="1:11" x14ac:dyDescent="0.25">
      <c r="A4">
        <v>10452</v>
      </c>
      <c r="B4" s="63">
        <v>44872</v>
      </c>
      <c r="C4" t="s">
        <v>9</v>
      </c>
      <c r="D4">
        <v>3.49</v>
      </c>
      <c r="E4" t="s">
        <v>10</v>
      </c>
      <c r="F4" t="s">
        <v>11</v>
      </c>
      <c r="G4" t="s">
        <v>24</v>
      </c>
      <c r="H4">
        <v>574</v>
      </c>
      <c r="I4" t="e" vm="1">
        <v>#VALUE!</v>
      </c>
      <c r="J4" t="e" vm="11">
        <v>#VALUE!</v>
      </c>
      <c r="K4">
        <v>2003.2600000000002</v>
      </c>
    </row>
    <row r="5" spans="1:11" x14ac:dyDescent="0.25">
      <c r="A5">
        <v>10453</v>
      </c>
      <c r="B5" s="63">
        <v>44872</v>
      </c>
      <c r="C5" t="s">
        <v>12</v>
      </c>
      <c r="D5">
        <v>2.95</v>
      </c>
      <c r="E5" t="s">
        <v>10</v>
      </c>
      <c r="F5" t="s">
        <v>11</v>
      </c>
      <c r="G5" t="s">
        <v>20</v>
      </c>
      <c r="H5">
        <v>746</v>
      </c>
      <c r="I5" t="e" vm="3">
        <v>#VALUE!</v>
      </c>
      <c r="J5" t="e" vm="4">
        <v>#VALUE!</v>
      </c>
      <c r="K5">
        <v>2200.7000000000003</v>
      </c>
    </row>
    <row r="6" spans="1:11" x14ac:dyDescent="0.25">
      <c r="A6">
        <v>10454</v>
      </c>
      <c r="B6" s="63">
        <v>44872</v>
      </c>
      <c r="C6" t="s">
        <v>13</v>
      </c>
      <c r="D6">
        <v>4.99</v>
      </c>
      <c r="E6" t="s">
        <v>14</v>
      </c>
      <c r="F6" t="s">
        <v>11</v>
      </c>
      <c r="G6" t="s">
        <v>21</v>
      </c>
      <c r="H6">
        <v>201</v>
      </c>
      <c r="I6" t="e" vm="5">
        <v>#VALUE!</v>
      </c>
      <c r="J6" t="e" vm="6">
        <v>#VALUE!</v>
      </c>
      <c r="K6">
        <v>1002.99</v>
      </c>
    </row>
    <row r="7" spans="1:11" x14ac:dyDescent="0.25">
      <c r="A7">
        <v>10713</v>
      </c>
      <c r="B7" s="63">
        <v>44924</v>
      </c>
      <c r="C7" t="s">
        <v>12</v>
      </c>
      <c r="D7">
        <v>2.95</v>
      </c>
      <c r="E7" t="s">
        <v>22</v>
      </c>
      <c r="F7" t="s">
        <v>11</v>
      </c>
      <c r="G7" t="s">
        <v>17</v>
      </c>
      <c r="H7">
        <v>678</v>
      </c>
      <c r="I7" t="e" vm="7">
        <v>#VALUE!</v>
      </c>
      <c r="J7" t="e" vm="8">
        <v>#VALUE!</v>
      </c>
      <c r="K7">
        <v>2000.1000000000001</v>
      </c>
    </row>
    <row r="8" spans="1:11" x14ac:dyDescent="0.25">
      <c r="A8">
        <v>10712</v>
      </c>
      <c r="B8" s="63">
        <v>44924</v>
      </c>
      <c r="C8" t="s">
        <v>9</v>
      </c>
      <c r="D8">
        <v>3.49</v>
      </c>
      <c r="E8" t="s">
        <v>22</v>
      </c>
      <c r="F8" t="s">
        <v>11</v>
      </c>
      <c r="G8" t="s">
        <v>17</v>
      </c>
      <c r="H8">
        <v>631</v>
      </c>
      <c r="I8" t="e" vm="7">
        <v>#VALUE!</v>
      </c>
      <c r="J8" t="e" vm="8">
        <v>#VALUE!</v>
      </c>
      <c r="K8">
        <v>2202.19</v>
      </c>
    </row>
    <row r="9" spans="1:11" x14ac:dyDescent="0.25">
      <c r="A9">
        <v>10711</v>
      </c>
      <c r="B9" s="63">
        <v>44924</v>
      </c>
      <c r="C9" t="s">
        <v>18</v>
      </c>
      <c r="D9">
        <v>9.9499999999999993</v>
      </c>
      <c r="E9" t="s">
        <v>22</v>
      </c>
      <c r="F9" t="s">
        <v>11</v>
      </c>
      <c r="G9" t="s">
        <v>17</v>
      </c>
      <c r="H9">
        <v>282</v>
      </c>
      <c r="I9" t="e" vm="7">
        <v>#VALUE!</v>
      </c>
      <c r="J9" t="e" vm="8">
        <v>#VALUE!</v>
      </c>
      <c r="K9">
        <v>2805.8999999999996</v>
      </c>
    </row>
    <row r="10" spans="1:11" x14ac:dyDescent="0.25">
      <c r="A10">
        <v>10710</v>
      </c>
      <c r="B10" s="63">
        <v>44924</v>
      </c>
      <c r="C10" t="s">
        <v>15</v>
      </c>
      <c r="D10">
        <v>12.99</v>
      </c>
      <c r="E10" t="s">
        <v>22</v>
      </c>
      <c r="F10" t="s">
        <v>11</v>
      </c>
      <c r="G10" t="s">
        <v>17</v>
      </c>
      <c r="H10">
        <v>755</v>
      </c>
      <c r="I10" t="e" vm="7">
        <v>#VALUE!</v>
      </c>
      <c r="J10" t="e" vm="8">
        <v>#VALUE!</v>
      </c>
      <c r="K10">
        <v>9807.4500000000007</v>
      </c>
    </row>
    <row r="11" spans="1:11" x14ac:dyDescent="0.25">
      <c r="A11">
        <v>10709</v>
      </c>
      <c r="B11" s="63">
        <v>44923</v>
      </c>
      <c r="C11" t="s">
        <v>13</v>
      </c>
      <c r="D11">
        <v>4.99</v>
      </c>
      <c r="E11" t="s">
        <v>22</v>
      </c>
      <c r="F11" t="s">
        <v>11</v>
      </c>
      <c r="G11" t="s">
        <v>17</v>
      </c>
      <c r="H11">
        <v>201</v>
      </c>
      <c r="I11" t="e" vm="7">
        <v>#VALUE!</v>
      </c>
      <c r="J11" t="e" vm="8">
        <v>#VALUE!</v>
      </c>
      <c r="K11">
        <v>1002.99</v>
      </c>
    </row>
    <row r="12" spans="1:11" x14ac:dyDescent="0.25">
      <c r="A12">
        <v>10708</v>
      </c>
      <c r="B12" s="63">
        <v>44923</v>
      </c>
      <c r="C12" t="s">
        <v>12</v>
      </c>
      <c r="D12">
        <v>2.95</v>
      </c>
      <c r="E12" t="s">
        <v>22</v>
      </c>
      <c r="F12" t="s">
        <v>11</v>
      </c>
      <c r="G12" t="s">
        <v>17</v>
      </c>
      <c r="H12">
        <v>678</v>
      </c>
      <c r="I12" t="e" vm="7">
        <v>#VALUE!</v>
      </c>
      <c r="J12" t="e" vm="8">
        <v>#VALUE!</v>
      </c>
      <c r="K12">
        <v>2000.1000000000001</v>
      </c>
    </row>
    <row r="13" spans="1:11" x14ac:dyDescent="0.25">
      <c r="A13">
        <v>10707</v>
      </c>
      <c r="B13" s="63">
        <v>44923</v>
      </c>
      <c r="C13" t="s">
        <v>9</v>
      </c>
      <c r="D13">
        <v>3.49</v>
      </c>
      <c r="E13" t="s">
        <v>22</v>
      </c>
      <c r="F13" t="s">
        <v>11</v>
      </c>
      <c r="G13" t="s">
        <v>17</v>
      </c>
      <c r="H13">
        <v>631</v>
      </c>
      <c r="I13" t="e" vm="7">
        <v>#VALUE!</v>
      </c>
      <c r="J13" t="e" vm="8">
        <v>#VALUE!</v>
      </c>
      <c r="K13">
        <v>2202.19</v>
      </c>
    </row>
    <row r="14" spans="1:11" x14ac:dyDescent="0.25">
      <c r="A14">
        <v>10706</v>
      </c>
      <c r="B14" s="63">
        <v>44923</v>
      </c>
      <c r="C14" t="s">
        <v>18</v>
      </c>
      <c r="D14">
        <v>9.9499999999999993</v>
      </c>
      <c r="E14" t="s">
        <v>22</v>
      </c>
      <c r="F14" t="s">
        <v>11</v>
      </c>
      <c r="G14" t="s">
        <v>17</v>
      </c>
      <c r="H14">
        <v>302</v>
      </c>
      <c r="I14" t="e" vm="7">
        <v>#VALUE!</v>
      </c>
      <c r="J14" t="e" vm="8">
        <v>#VALUE!</v>
      </c>
      <c r="K14">
        <v>3004.8999999999996</v>
      </c>
    </row>
    <row r="15" spans="1:11" x14ac:dyDescent="0.25">
      <c r="A15">
        <v>10705</v>
      </c>
      <c r="B15" s="63">
        <v>44923</v>
      </c>
      <c r="C15" t="s">
        <v>15</v>
      </c>
      <c r="D15">
        <v>12.99</v>
      </c>
      <c r="E15" t="s">
        <v>22</v>
      </c>
      <c r="F15" t="s">
        <v>11</v>
      </c>
      <c r="G15" t="s">
        <v>17</v>
      </c>
      <c r="H15">
        <v>724</v>
      </c>
      <c r="I15" t="e" vm="7">
        <v>#VALUE!</v>
      </c>
      <c r="J15" t="e" vm="8">
        <v>#VALUE!</v>
      </c>
      <c r="K15">
        <v>9404.76</v>
      </c>
    </row>
    <row r="16" spans="1:11" x14ac:dyDescent="0.25">
      <c r="A16">
        <v>10704</v>
      </c>
      <c r="B16" s="63">
        <v>44922</v>
      </c>
      <c r="C16" t="s">
        <v>13</v>
      </c>
      <c r="D16">
        <v>4.99</v>
      </c>
      <c r="E16" t="s">
        <v>22</v>
      </c>
      <c r="F16" t="s">
        <v>11</v>
      </c>
      <c r="G16" t="s">
        <v>17</v>
      </c>
      <c r="H16">
        <v>201</v>
      </c>
      <c r="I16" t="e" vm="7">
        <v>#VALUE!</v>
      </c>
      <c r="J16" t="e" vm="8">
        <v>#VALUE!</v>
      </c>
      <c r="K16">
        <v>1002.99</v>
      </c>
    </row>
    <row r="17" spans="1:11" x14ac:dyDescent="0.25">
      <c r="A17">
        <v>10703</v>
      </c>
      <c r="B17" s="63">
        <v>44922</v>
      </c>
      <c r="C17" t="s">
        <v>12</v>
      </c>
      <c r="D17">
        <v>2.95</v>
      </c>
      <c r="E17" t="s">
        <v>14</v>
      </c>
      <c r="F17" t="s">
        <v>11</v>
      </c>
      <c r="G17" t="s">
        <v>17</v>
      </c>
      <c r="H17">
        <v>678</v>
      </c>
      <c r="I17" t="e" vm="7">
        <v>#VALUE!</v>
      </c>
      <c r="J17" t="e" vm="8">
        <v>#VALUE!</v>
      </c>
      <c r="K17">
        <v>2000.1000000000001</v>
      </c>
    </row>
    <row r="18" spans="1:11" x14ac:dyDescent="0.25">
      <c r="A18">
        <v>10657</v>
      </c>
      <c r="B18" s="63">
        <v>44913</v>
      </c>
      <c r="C18" t="s">
        <v>9</v>
      </c>
      <c r="D18">
        <v>3.49</v>
      </c>
      <c r="E18" t="s">
        <v>10</v>
      </c>
      <c r="F18" t="s">
        <v>11</v>
      </c>
      <c r="G18" t="s">
        <v>21</v>
      </c>
      <c r="H18">
        <v>688</v>
      </c>
      <c r="I18" t="e" vm="5">
        <v>#VALUE!</v>
      </c>
      <c r="J18" t="e" vm="6">
        <v>#VALUE!</v>
      </c>
      <c r="K18">
        <v>2401.1200000000003</v>
      </c>
    </row>
    <row r="19" spans="1:11" x14ac:dyDescent="0.25">
      <c r="A19">
        <v>10656</v>
      </c>
      <c r="B19" s="63">
        <v>44913</v>
      </c>
      <c r="C19" t="s">
        <v>18</v>
      </c>
      <c r="D19">
        <v>9.9499999999999993</v>
      </c>
      <c r="E19" t="s">
        <v>10</v>
      </c>
      <c r="F19" t="s">
        <v>11</v>
      </c>
      <c r="G19" t="s">
        <v>21</v>
      </c>
      <c r="H19">
        <v>222</v>
      </c>
      <c r="I19" t="e" vm="5">
        <v>#VALUE!</v>
      </c>
      <c r="J19" t="e" vm="6">
        <v>#VALUE!</v>
      </c>
      <c r="K19">
        <v>2208.8999999999996</v>
      </c>
    </row>
    <row r="20" spans="1:11" x14ac:dyDescent="0.25">
      <c r="A20">
        <v>10655</v>
      </c>
      <c r="B20" s="63">
        <v>44913</v>
      </c>
      <c r="C20" t="s">
        <v>15</v>
      </c>
      <c r="D20">
        <v>12.99</v>
      </c>
      <c r="E20" t="s">
        <v>10</v>
      </c>
      <c r="F20" t="s">
        <v>11</v>
      </c>
      <c r="G20" t="s">
        <v>21</v>
      </c>
      <c r="H20">
        <v>601</v>
      </c>
      <c r="I20" t="e" vm="5">
        <v>#VALUE!</v>
      </c>
      <c r="J20" t="e" vm="6">
        <v>#VALUE!</v>
      </c>
      <c r="K20">
        <v>7806.99</v>
      </c>
    </row>
    <row r="21" spans="1:11" x14ac:dyDescent="0.25">
      <c r="A21">
        <v>10654</v>
      </c>
      <c r="B21" s="63">
        <v>44912</v>
      </c>
      <c r="C21" t="s">
        <v>13</v>
      </c>
      <c r="D21">
        <v>4.99</v>
      </c>
      <c r="E21" t="s">
        <v>10</v>
      </c>
      <c r="F21" t="s">
        <v>11</v>
      </c>
      <c r="G21" t="s">
        <v>21</v>
      </c>
      <c r="H21">
        <v>201</v>
      </c>
      <c r="I21" t="e" vm="5">
        <v>#VALUE!</v>
      </c>
      <c r="J21" t="e" vm="6">
        <v>#VALUE!</v>
      </c>
      <c r="K21">
        <v>1002.99</v>
      </c>
    </row>
    <row r="22" spans="1:11" x14ac:dyDescent="0.25">
      <c r="A22">
        <v>10653</v>
      </c>
      <c r="B22" s="63">
        <v>44912</v>
      </c>
      <c r="C22" t="s">
        <v>12</v>
      </c>
      <c r="D22">
        <v>2.95</v>
      </c>
      <c r="E22" t="s">
        <v>10</v>
      </c>
      <c r="F22" t="s">
        <v>11</v>
      </c>
      <c r="G22" t="s">
        <v>21</v>
      </c>
      <c r="H22">
        <v>746</v>
      </c>
      <c r="I22" t="e" vm="5">
        <v>#VALUE!</v>
      </c>
      <c r="J22" t="e" vm="6">
        <v>#VALUE!</v>
      </c>
      <c r="K22">
        <v>2200.7000000000003</v>
      </c>
    </row>
    <row r="23" spans="1:11" x14ac:dyDescent="0.25">
      <c r="A23">
        <v>10652</v>
      </c>
      <c r="B23" s="63">
        <v>44912</v>
      </c>
      <c r="C23" t="s">
        <v>9</v>
      </c>
      <c r="D23">
        <v>3.49</v>
      </c>
      <c r="E23" t="s">
        <v>10</v>
      </c>
      <c r="F23" t="s">
        <v>11</v>
      </c>
      <c r="G23" t="s">
        <v>21</v>
      </c>
      <c r="H23">
        <v>688</v>
      </c>
      <c r="I23" t="e" vm="5">
        <v>#VALUE!</v>
      </c>
      <c r="J23" t="e" vm="6">
        <v>#VALUE!</v>
      </c>
      <c r="K23">
        <v>2401.1200000000003</v>
      </c>
    </row>
    <row r="24" spans="1:11" x14ac:dyDescent="0.25">
      <c r="A24">
        <v>10651</v>
      </c>
      <c r="B24" s="63">
        <v>44912</v>
      </c>
      <c r="C24" t="s">
        <v>18</v>
      </c>
      <c r="D24">
        <v>9.9499999999999993</v>
      </c>
      <c r="E24" t="s">
        <v>10</v>
      </c>
      <c r="F24" t="s">
        <v>11</v>
      </c>
      <c r="G24" t="s">
        <v>21</v>
      </c>
      <c r="H24">
        <v>222</v>
      </c>
      <c r="I24" t="e" vm="5">
        <v>#VALUE!</v>
      </c>
      <c r="J24" t="e" vm="6">
        <v>#VALUE!</v>
      </c>
      <c r="K24">
        <v>2208.8999999999996</v>
      </c>
    </row>
    <row r="25" spans="1:11" x14ac:dyDescent="0.25">
      <c r="A25">
        <v>10650</v>
      </c>
      <c r="B25" s="63">
        <v>44912</v>
      </c>
      <c r="C25" t="s">
        <v>15</v>
      </c>
      <c r="D25">
        <v>12.99</v>
      </c>
      <c r="E25" t="s">
        <v>10</v>
      </c>
      <c r="F25" t="s">
        <v>11</v>
      </c>
      <c r="G25" t="s">
        <v>21</v>
      </c>
      <c r="H25">
        <v>586</v>
      </c>
      <c r="I25" t="e" vm="5">
        <v>#VALUE!</v>
      </c>
      <c r="J25" t="e" vm="6">
        <v>#VALUE!</v>
      </c>
      <c r="K25">
        <v>7612.14</v>
      </c>
    </row>
    <row r="26" spans="1:11" x14ac:dyDescent="0.25">
      <c r="A26">
        <v>10649</v>
      </c>
      <c r="B26" s="63">
        <v>44911</v>
      </c>
      <c r="C26" t="s">
        <v>13</v>
      </c>
      <c r="D26">
        <v>4.99</v>
      </c>
      <c r="E26" t="s">
        <v>10</v>
      </c>
      <c r="F26" t="s">
        <v>11</v>
      </c>
      <c r="G26" t="s">
        <v>21</v>
      </c>
      <c r="H26">
        <v>201</v>
      </c>
      <c r="I26" t="e" vm="5">
        <v>#VALUE!</v>
      </c>
      <c r="J26" t="e" vm="6">
        <v>#VALUE!</v>
      </c>
      <c r="K26">
        <v>1002.99</v>
      </c>
    </row>
    <row r="27" spans="1:11" x14ac:dyDescent="0.25">
      <c r="A27">
        <v>10648</v>
      </c>
      <c r="B27" s="63">
        <v>44911</v>
      </c>
      <c r="C27" t="s">
        <v>12</v>
      </c>
      <c r="D27">
        <v>2.95</v>
      </c>
      <c r="E27" t="s">
        <v>10</v>
      </c>
      <c r="F27" t="s">
        <v>11</v>
      </c>
      <c r="G27" t="s">
        <v>21</v>
      </c>
      <c r="H27">
        <v>746</v>
      </c>
      <c r="I27" t="e" vm="5">
        <v>#VALUE!</v>
      </c>
      <c r="J27" t="e" vm="6">
        <v>#VALUE!</v>
      </c>
      <c r="K27">
        <v>2200.7000000000003</v>
      </c>
    </row>
    <row r="28" spans="1:11" x14ac:dyDescent="0.25">
      <c r="A28">
        <v>10647</v>
      </c>
      <c r="B28" s="63">
        <v>44911</v>
      </c>
      <c r="C28" t="s">
        <v>9</v>
      </c>
      <c r="D28">
        <v>3.49</v>
      </c>
      <c r="E28" t="s">
        <v>10</v>
      </c>
      <c r="F28" t="s">
        <v>11</v>
      </c>
      <c r="G28" t="s">
        <v>21</v>
      </c>
      <c r="H28">
        <v>631</v>
      </c>
      <c r="I28" t="e" vm="5">
        <v>#VALUE!</v>
      </c>
      <c r="J28" t="e" vm="6">
        <v>#VALUE!</v>
      </c>
      <c r="K28">
        <v>2202.19</v>
      </c>
    </row>
    <row r="29" spans="1:11" x14ac:dyDescent="0.25">
      <c r="A29">
        <v>10641</v>
      </c>
      <c r="B29" s="63">
        <v>44910</v>
      </c>
      <c r="C29" t="s">
        <v>18</v>
      </c>
      <c r="D29">
        <v>9.9499999999999993</v>
      </c>
      <c r="E29" t="s">
        <v>10</v>
      </c>
      <c r="F29" t="s">
        <v>11</v>
      </c>
      <c r="G29" t="s">
        <v>21</v>
      </c>
      <c r="H29">
        <v>222</v>
      </c>
      <c r="I29" t="e" vm="5">
        <v>#VALUE!</v>
      </c>
      <c r="J29" t="e" vm="6">
        <v>#VALUE!</v>
      </c>
      <c r="K29">
        <v>2208.8999999999996</v>
      </c>
    </row>
    <row r="30" spans="1:11" x14ac:dyDescent="0.25">
      <c r="A30">
        <v>10640</v>
      </c>
      <c r="B30" s="63">
        <v>44910</v>
      </c>
      <c r="C30" t="s">
        <v>15</v>
      </c>
      <c r="D30">
        <v>12.99</v>
      </c>
      <c r="E30" t="s">
        <v>10</v>
      </c>
      <c r="F30" t="s">
        <v>11</v>
      </c>
      <c r="G30" t="s">
        <v>21</v>
      </c>
      <c r="H30">
        <v>539</v>
      </c>
      <c r="I30" t="e" vm="5">
        <v>#VALUE!</v>
      </c>
      <c r="J30" t="e" vm="6">
        <v>#VALUE!</v>
      </c>
      <c r="K30">
        <v>7001.61</v>
      </c>
    </row>
    <row r="31" spans="1:11" x14ac:dyDescent="0.25">
      <c r="A31">
        <v>10639</v>
      </c>
      <c r="B31" s="63">
        <v>44909</v>
      </c>
      <c r="C31" t="s">
        <v>13</v>
      </c>
      <c r="D31">
        <v>4.99</v>
      </c>
      <c r="E31" t="s">
        <v>10</v>
      </c>
      <c r="F31" t="s">
        <v>11</v>
      </c>
      <c r="G31" t="s">
        <v>21</v>
      </c>
      <c r="H31">
        <v>201</v>
      </c>
      <c r="I31" t="e" vm="5">
        <v>#VALUE!</v>
      </c>
      <c r="J31" t="e" vm="6">
        <v>#VALUE!</v>
      </c>
      <c r="K31">
        <v>1002.99</v>
      </c>
    </row>
    <row r="32" spans="1:11" x14ac:dyDescent="0.25">
      <c r="A32">
        <v>10638</v>
      </c>
      <c r="B32" s="63">
        <v>44909</v>
      </c>
      <c r="C32" t="s">
        <v>12</v>
      </c>
      <c r="D32">
        <v>2.95</v>
      </c>
      <c r="E32" t="s">
        <v>10</v>
      </c>
      <c r="F32" t="s">
        <v>11</v>
      </c>
      <c r="G32" t="s">
        <v>21</v>
      </c>
      <c r="H32">
        <v>678</v>
      </c>
      <c r="I32" t="e" vm="5">
        <v>#VALUE!</v>
      </c>
      <c r="J32" t="e" vm="6">
        <v>#VALUE!</v>
      </c>
      <c r="K32">
        <v>2000.1000000000001</v>
      </c>
    </row>
    <row r="33" spans="1:11" x14ac:dyDescent="0.25">
      <c r="A33">
        <v>10637</v>
      </c>
      <c r="B33" s="63">
        <v>44909</v>
      </c>
      <c r="C33" t="s">
        <v>9</v>
      </c>
      <c r="D33">
        <v>3.49</v>
      </c>
      <c r="E33" t="s">
        <v>10</v>
      </c>
      <c r="F33" t="s">
        <v>11</v>
      </c>
      <c r="G33" t="s">
        <v>21</v>
      </c>
      <c r="H33">
        <v>631</v>
      </c>
      <c r="I33" t="e" vm="5">
        <v>#VALUE!</v>
      </c>
      <c r="J33" t="e" vm="6">
        <v>#VALUE!</v>
      </c>
      <c r="K33">
        <v>2202.19</v>
      </c>
    </row>
    <row r="34" spans="1:11" x14ac:dyDescent="0.25">
      <c r="A34">
        <v>10636</v>
      </c>
      <c r="B34" s="63">
        <v>44909</v>
      </c>
      <c r="C34" t="s">
        <v>18</v>
      </c>
      <c r="D34">
        <v>9.9499999999999993</v>
      </c>
      <c r="E34" t="s">
        <v>10</v>
      </c>
      <c r="F34" t="s">
        <v>11</v>
      </c>
      <c r="G34" t="s">
        <v>21</v>
      </c>
      <c r="H34">
        <v>222</v>
      </c>
      <c r="I34" t="e" vm="5">
        <v>#VALUE!</v>
      </c>
      <c r="J34" t="e" vm="6">
        <v>#VALUE!</v>
      </c>
      <c r="K34">
        <v>2208.8999999999996</v>
      </c>
    </row>
    <row r="35" spans="1:11" x14ac:dyDescent="0.25">
      <c r="A35">
        <v>10635</v>
      </c>
      <c r="B35" s="63">
        <v>44909</v>
      </c>
      <c r="C35" t="s">
        <v>15</v>
      </c>
      <c r="D35">
        <v>12.99</v>
      </c>
      <c r="E35" t="s">
        <v>10</v>
      </c>
      <c r="F35" t="s">
        <v>11</v>
      </c>
      <c r="G35" t="s">
        <v>21</v>
      </c>
      <c r="H35">
        <v>555</v>
      </c>
      <c r="I35" t="e" vm="5">
        <v>#VALUE!</v>
      </c>
      <c r="J35" t="e" vm="6">
        <v>#VALUE!</v>
      </c>
      <c r="K35">
        <v>7209.45</v>
      </c>
    </row>
    <row r="36" spans="1:11" x14ac:dyDescent="0.25">
      <c r="A36">
        <v>10634</v>
      </c>
      <c r="B36" s="63">
        <v>44908</v>
      </c>
      <c r="C36" t="s">
        <v>13</v>
      </c>
      <c r="D36">
        <v>4.99</v>
      </c>
      <c r="E36" t="s">
        <v>10</v>
      </c>
      <c r="F36" t="s">
        <v>11</v>
      </c>
      <c r="G36" t="s">
        <v>21</v>
      </c>
      <c r="H36">
        <v>201</v>
      </c>
      <c r="I36" t="e" vm="5">
        <v>#VALUE!</v>
      </c>
      <c r="J36" t="e" vm="6">
        <v>#VALUE!</v>
      </c>
      <c r="K36">
        <v>1002.99</v>
      </c>
    </row>
    <row r="37" spans="1:11" x14ac:dyDescent="0.25">
      <c r="A37">
        <v>10633</v>
      </c>
      <c r="B37" s="63">
        <v>44908</v>
      </c>
      <c r="C37" t="s">
        <v>12</v>
      </c>
      <c r="D37">
        <v>2.95</v>
      </c>
      <c r="E37" t="s">
        <v>10</v>
      </c>
      <c r="F37" t="s">
        <v>11</v>
      </c>
      <c r="G37" t="s">
        <v>21</v>
      </c>
      <c r="H37">
        <v>678</v>
      </c>
      <c r="I37" t="e" vm="5">
        <v>#VALUE!</v>
      </c>
      <c r="J37" t="e" vm="6">
        <v>#VALUE!</v>
      </c>
      <c r="K37">
        <v>2000.1000000000001</v>
      </c>
    </row>
    <row r="38" spans="1:11" x14ac:dyDescent="0.25">
      <c r="A38">
        <v>10632</v>
      </c>
      <c r="B38" s="63">
        <v>44908</v>
      </c>
      <c r="C38" t="s">
        <v>9</v>
      </c>
      <c r="D38">
        <v>3.49</v>
      </c>
      <c r="E38" t="s">
        <v>10</v>
      </c>
      <c r="F38" t="s">
        <v>11</v>
      </c>
      <c r="G38" t="s">
        <v>21</v>
      </c>
      <c r="H38">
        <v>631</v>
      </c>
      <c r="I38" t="e" vm="5">
        <v>#VALUE!</v>
      </c>
      <c r="J38" t="e" vm="6">
        <v>#VALUE!</v>
      </c>
      <c r="K38">
        <v>2202.19</v>
      </c>
    </row>
    <row r="39" spans="1:11" x14ac:dyDescent="0.25">
      <c r="A39">
        <v>10631</v>
      </c>
      <c r="B39" s="63">
        <v>44908</v>
      </c>
      <c r="C39" t="s">
        <v>18</v>
      </c>
      <c r="D39">
        <v>9.9499999999999993</v>
      </c>
      <c r="E39" t="s">
        <v>10</v>
      </c>
      <c r="F39" t="s">
        <v>11</v>
      </c>
      <c r="G39" t="s">
        <v>21</v>
      </c>
      <c r="H39">
        <v>202</v>
      </c>
      <c r="I39" t="e" vm="5">
        <v>#VALUE!</v>
      </c>
      <c r="J39" t="e" vm="6">
        <v>#VALUE!</v>
      </c>
      <c r="K39">
        <v>2009.8999999999999</v>
      </c>
    </row>
    <row r="40" spans="1:11" x14ac:dyDescent="0.25">
      <c r="A40">
        <v>10629</v>
      </c>
      <c r="B40" s="63">
        <v>44907</v>
      </c>
      <c r="C40" t="s">
        <v>13</v>
      </c>
      <c r="D40">
        <v>4.99</v>
      </c>
      <c r="E40" t="s">
        <v>10</v>
      </c>
      <c r="F40" t="s">
        <v>11</v>
      </c>
      <c r="G40" t="s">
        <v>21</v>
      </c>
      <c r="H40">
        <v>201</v>
      </c>
      <c r="I40" t="e" vm="5">
        <v>#VALUE!</v>
      </c>
      <c r="J40" t="e" vm="6">
        <v>#VALUE!</v>
      </c>
      <c r="K40">
        <v>1002.99</v>
      </c>
    </row>
    <row r="41" spans="1:11" x14ac:dyDescent="0.25">
      <c r="A41">
        <v>10628</v>
      </c>
      <c r="B41" s="63">
        <v>44907</v>
      </c>
      <c r="C41" t="s">
        <v>12</v>
      </c>
      <c r="D41">
        <v>2.95</v>
      </c>
      <c r="E41" t="s">
        <v>10</v>
      </c>
      <c r="F41" t="s">
        <v>11</v>
      </c>
      <c r="G41" t="s">
        <v>21</v>
      </c>
      <c r="H41">
        <v>678</v>
      </c>
      <c r="I41" t="e" vm="5">
        <v>#VALUE!</v>
      </c>
      <c r="J41" t="e" vm="6">
        <v>#VALUE!</v>
      </c>
      <c r="K41">
        <v>2000.1000000000001</v>
      </c>
    </row>
    <row r="42" spans="1:11" x14ac:dyDescent="0.25">
      <c r="A42">
        <v>10627</v>
      </c>
      <c r="B42" s="63">
        <v>44907</v>
      </c>
      <c r="C42" t="s">
        <v>9</v>
      </c>
      <c r="D42">
        <v>3.49</v>
      </c>
      <c r="E42" t="s">
        <v>10</v>
      </c>
      <c r="F42" t="s">
        <v>11</v>
      </c>
      <c r="G42" t="s">
        <v>24</v>
      </c>
      <c r="H42">
        <v>631</v>
      </c>
      <c r="I42" t="e" vm="1">
        <v>#VALUE!</v>
      </c>
      <c r="J42" t="e" vm="11">
        <v>#VALUE!</v>
      </c>
      <c r="K42">
        <v>2202.19</v>
      </c>
    </row>
    <row r="43" spans="1:11" x14ac:dyDescent="0.25">
      <c r="A43">
        <v>10626</v>
      </c>
      <c r="B43" s="63">
        <v>44907</v>
      </c>
      <c r="C43" t="s">
        <v>18</v>
      </c>
      <c r="D43">
        <v>9.9499999999999993</v>
      </c>
      <c r="E43" t="s">
        <v>10</v>
      </c>
      <c r="F43" t="s">
        <v>11</v>
      </c>
      <c r="G43" t="s">
        <v>24</v>
      </c>
      <c r="H43">
        <v>202</v>
      </c>
      <c r="I43" t="e" vm="1">
        <v>#VALUE!</v>
      </c>
      <c r="J43" t="e" vm="11">
        <v>#VALUE!</v>
      </c>
      <c r="K43">
        <v>2009.8999999999999</v>
      </c>
    </row>
    <row r="44" spans="1:11" x14ac:dyDescent="0.25">
      <c r="A44">
        <v>10625</v>
      </c>
      <c r="B44" s="63">
        <v>44907</v>
      </c>
      <c r="C44" t="s">
        <v>15</v>
      </c>
      <c r="D44">
        <v>12.99</v>
      </c>
      <c r="E44" t="s">
        <v>10</v>
      </c>
      <c r="F44" t="s">
        <v>11</v>
      </c>
      <c r="G44" t="s">
        <v>24</v>
      </c>
      <c r="H44">
        <v>570</v>
      </c>
      <c r="I44" t="e" vm="1">
        <v>#VALUE!</v>
      </c>
      <c r="J44" t="e" vm="11">
        <v>#VALUE!</v>
      </c>
      <c r="K44">
        <v>7404.3</v>
      </c>
    </row>
    <row r="45" spans="1:11" x14ac:dyDescent="0.25">
      <c r="A45">
        <v>10624</v>
      </c>
      <c r="B45" s="63">
        <v>44906</v>
      </c>
      <c r="C45" t="s">
        <v>13</v>
      </c>
      <c r="D45">
        <v>4.99</v>
      </c>
      <c r="E45" t="s">
        <v>10</v>
      </c>
      <c r="F45" t="s">
        <v>11</v>
      </c>
      <c r="G45" t="s">
        <v>24</v>
      </c>
      <c r="H45">
        <v>201</v>
      </c>
      <c r="I45" t="e" vm="1">
        <v>#VALUE!</v>
      </c>
      <c r="J45" t="e" vm="11">
        <v>#VALUE!</v>
      </c>
      <c r="K45">
        <v>1002.99</v>
      </c>
    </row>
    <row r="46" spans="1:11" x14ac:dyDescent="0.25">
      <c r="A46">
        <v>10623</v>
      </c>
      <c r="B46" s="63">
        <v>44906</v>
      </c>
      <c r="C46" t="s">
        <v>12</v>
      </c>
      <c r="D46">
        <v>2.95</v>
      </c>
      <c r="E46" t="s">
        <v>10</v>
      </c>
      <c r="F46" t="s">
        <v>11</v>
      </c>
      <c r="G46" t="s">
        <v>24</v>
      </c>
      <c r="H46">
        <v>746</v>
      </c>
      <c r="I46" t="e" vm="1">
        <v>#VALUE!</v>
      </c>
      <c r="J46" t="e" vm="11">
        <v>#VALUE!</v>
      </c>
      <c r="K46">
        <v>2200.7000000000003</v>
      </c>
    </row>
    <row r="47" spans="1:11" x14ac:dyDescent="0.25">
      <c r="A47">
        <v>10622</v>
      </c>
      <c r="B47" s="63">
        <v>44906</v>
      </c>
      <c r="C47" t="s">
        <v>9</v>
      </c>
      <c r="D47">
        <v>3.49</v>
      </c>
      <c r="E47" t="s">
        <v>10</v>
      </c>
      <c r="F47" t="s">
        <v>11</v>
      </c>
      <c r="G47" t="s">
        <v>24</v>
      </c>
      <c r="H47">
        <v>631</v>
      </c>
      <c r="I47" t="e" vm="1">
        <v>#VALUE!</v>
      </c>
      <c r="J47" t="e" vm="11">
        <v>#VALUE!</v>
      </c>
      <c r="K47">
        <v>2202.19</v>
      </c>
    </row>
    <row r="48" spans="1:11" x14ac:dyDescent="0.25">
      <c r="A48">
        <v>10621</v>
      </c>
      <c r="B48" s="63">
        <v>44906</v>
      </c>
      <c r="C48" t="s">
        <v>18</v>
      </c>
      <c r="D48">
        <v>9.9499999999999993</v>
      </c>
      <c r="E48" t="s">
        <v>10</v>
      </c>
      <c r="F48" t="s">
        <v>11</v>
      </c>
      <c r="G48" t="s">
        <v>24</v>
      </c>
      <c r="H48">
        <v>202</v>
      </c>
      <c r="I48" t="e" vm="1">
        <v>#VALUE!</v>
      </c>
      <c r="J48" t="e" vm="11">
        <v>#VALUE!</v>
      </c>
      <c r="K48">
        <v>2009.8999999999999</v>
      </c>
    </row>
    <row r="49" spans="1:11" x14ac:dyDescent="0.25">
      <c r="A49">
        <v>10620</v>
      </c>
      <c r="B49" s="63">
        <v>44906</v>
      </c>
      <c r="C49" t="s">
        <v>15</v>
      </c>
      <c r="D49">
        <v>12.99</v>
      </c>
      <c r="E49" t="s">
        <v>10</v>
      </c>
      <c r="F49" t="s">
        <v>11</v>
      </c>
      <c r="G49" t="s">
        <v>24</v>
      </c>
      <c r="H49">
        <v>586</v>
      </c>
      <c r="I49" t="e" vm="1">
        <v>#VALUE!</v>
      </c>
      <c r="J49" t="e" vm="11">
        <v>#VALUE!</v>
      </c>
      <c r="K49">
        <v>7612.14</v>
      </c>
    </row>
    <row r="50" spans="1:11" x14ac:dyDescent="0.25">
      <c r="A50">
        <v>10619</v>
      </c>
      <c r="B50" s="63">
        <v>44905</v>
      </c>
      <c r="C50" t="s">
        <v>13</v>
      </c>
      <c r="D50">
        <v>4.99</v>
      </c>
      <c r="E50" t="s">
        <v>10</v>
      </c>
      <c r="F50" t="s">
        <v>11</v>
      </c>
      <c r="G50" t="s">
        <v>24</v>
      </c>
      <c r="H50">
        <v>201</v>
      </c>
      <c r="I50" t="e" vm="1">
        <v>#VALUE!</v>
      </c>
      <c r="J50" t="e" vm="11">
        <v>#VALUE!</v>
      </c>
      <c r="K50">
        <v>1002.99</v>
      </c>
    </row>
    <row r="51" spans="1:11" x14ac:dyDescent="0.25">
      <c r="A51">
        <v>10618</v>
      </c>
      <c r="B51" s="63">
        <v>44905</v>
      </c>
      <c r="C51" t="s">
        <v>12</v>
      </c>
      <c r="D51">
        <v>2.95</v>
      </c>
      <c r="E51" t="s">
        <v>10</v>
      </c>
      <c r="F51" t="s">
        <v>11</v>
      </c>
      <c r="G51" t="s">
        <v>24</v>
      </c>
      <c r="H51">
        <v>678</v>
      </c>
      <c r="I51" t="e" vm="1">
        <v>#VALUE!</v>
      </c>
      <c r="J51" t="e" vm="11">
        <v>#VALUE!</v>
      </c>
      <c r="K51">
        <v>2000.1000000000001</v>
      </c>
    </row>
    <row r="52" spans="1:11" x14ac:dyDescent="0.25">
      <c r="A52">
        <v>10617</v>
      </c>
      <c r="B52" s="63">
        <v>44905</v>
      </c>
      <c r="C52" t="s">
        <v>9</v>
      </c>
      <c r="D52">
        <v>3.49</v>
      </c>
      <c r="E52" t="s">
        <v>10</v>
      </c>
      <c r="F52" t="s">
        <v>11</v>
      </c>
      <c r="G52" t="s">
        <v>24</v>
      </c>
      <c r="H52">
        <v>631</v>
      </c>
      <c r="I52" t="e" vm="1">
        <v>#VALUE!</v>
      </c>
      <c r="J52" t="e" vm="11">
        <v>#VALUE!</v>
      </c>
      <c r="K52">
        <v>2202.19</v>
      </c>
    </row>
    <row r="53" spans="1:11" x14ac:dyDescent="0.25">
      <c r="A53">
        <v>10616</v>
      </c>
      <c r="B53" s="63">
        <v>44905</v>
      </c>
      <c r="C53" t="s">
        <v>18</v>
      </c>
      <c r="D53">
        <v>9.9499999999999993</v>
      </c>
      <c r="E53" t="s">
        <v>10</v>
      </c>
      <c r="F53" t="s">
        <v>11</v>
      </c>
      <c r="G53" t="s">
        <v>24</v>
      </c>
      <c r="H53">
        <v>202</v>
      </c>
      <c r="I53" t="e" vm="1">
        <v>#VALUE!</v>
      </c>
      <c r="J53" t="e" vm="11">
        <v>#VALUE!</v>
      </c>
      <c r="K53">
        <v>2009.8999999999999</v>
      </c>
    </row>
    <row r="54" spans="1:11" x14ac:dyDescent="0.25">
      <c r="A54">
        <v>10615</v>
      </c>
      <c r="B54" s="63">
        <v>44905</v>
      </c>
      <c r="C54" t="s">
        <v>15</v>
      </c>
      <c r="D54">
        <v>12.99</v>
      </c>
      <c r="E54" t="s">
        <v>10</v>
      </c>
      <c r="F54" t="s">
        <v>11</v>
      </c>
      <c r="G54" t="s">
        <v>24</v>
      </c>
      <c r="H54">
        <v>570</v>
      </c>
      <c r="I54" t="e" vm="1">
        <v>#VALUE!</v>
      </c>
      <c r="J54" t="e" vm="11">
        <v>#VALUE!</v>
      </c>
      <c r="K54">
        <v>7404.3</v>
      </c>
    </row>
    <row r="55" spans="1:11" x14ac:dyDescent="0.25">
      <c r="A55">
        <v>10614</v>
      </c>
      <c r="B55" s="63">
        <v>44904</v>
      </c>
      <c r="C55" t="s">
        <v>13</v>
      </c>
      <c r="D55">
        <v>4.99</v>
      </c>
      <c r="E55" t="s">
        <v>10</v>
      </c>
      <c r="F55" t="s">
        <v>11</v>
      </c>
      <c r="G55" t="s">
        <v>24</v>
      </c>
      <c r="H55">
        <v>201</v>
      </c>
      <c r="I55" t="e" vm="1">
        <v>#VALUE!</v>
      </c>
      <c r="J55" t="e" vm="11">
        <v>#VALUE!</v>
      </c>
      <c r="K55">
        <v>1002.99</v>
      </c>
    </row>
    <row r="56" spans="1:11" x14ac:dyDescent="0.25">
      <c r="A56">
        <v>10613</v>
      </c>
      <c r="B56" s="63">
        <v>44904</v>
      </c>
      <c r="C56" t="s">
        <v>12</v>
      </c>
      <c r="D56">
        <v>2.95</v>
      </c>
      <c r="E56" t="s">
        <v>10</v>
      </c>
      <c r="F56" t="s">
        <v>11</v>
      </c>
      <c r="G56" t="s">
        <v>24</v>
      </c>
      <c r="H56">
        <v>678</v>
      </c>
      <c r="I56" t="e" vm="1">
        <v>#VALUE!</v>
      </c>
      <c r="J56" t="e" vm="11">
        <v>#VALUE!</v>
      </c>
      <c r="K56">
        <v>2000.1000000000001</v>
      </c>
    </row>
    <row r="57" spans="1:11" x14ac:dyDescent="0.25">
      <c r="A57">
        <v>10612</v>
      </c>
      <c r="B57" s="63">
        <v>44904</v>
      </c>
      <c r="C57" t="s">
        <v>9</v>
      </c>
      <c r="D57">
        <v>3.49</v>
      </c>
      <c r="E57" t="s">
        <v>10</v>
      </c>
      <c r="F57" t="s">
        <v>11</v>
      </c>
      <c r="G57" t="s">
        <v>24</v>
      </c>
      <c r="H57">
        <v>631</v>
      </c>
      <c r="I57" t="e" vm="1">
        <v>#VALUE!</v>
      </c>
      <c r="J57" t="e" vm="11">
        <v>#VALUE!</v>
      </c>
      <c r="K57">
        <v>2202.19</v>
      </c>
    </row>
    <row r="58" spans="1:11" x14ac:dyDescent="0.25">
      <c r="A58">
        <v>10611</v>
      </c>
      <c r="B58" s="63">
        <v>44904</v>
      </c>
      <c r="C58" t="s">
        <v>18</v>
      </c>
      <c r="D58">
        <v>9.9499999999999993</v>
      </c>
      <c r="E58" t="s">
        <v>10</v>
      </c>
      <c r="F58" t="s">
        <v>11</v>
      </c>
      <c r="G58" t="s">
        <v>24</v>
      </c>
      <c r="H58">
        <v>202</v>
      </c>
      <c r="I58" t="e" vm="1">
        <v>#VALUE!</v>
      </c>
      <c r="J58" t="e" vm="11">
        <v>#VALUE!</v>
      </c>
      <c r="K58">
        <v>2009.8999999999999</v>
      </c>
    </row>
    <row r="59" spans="1:11" x14ac:dyDescent="0.25">
      <c r="A59">
        <v>10610</v>
      </c>
      <c r="B59" s="63">
        <v>44904</v>
      </c>
      <c r="C59" t="s">
        <v>15</v>
      </c>
      <c r="D59">
        <v>12.99</v>
      </c>
      <c r="E59" t="s">
        <v>10</v>
      </c>
      <c r="F59" t="s">
        <v>11</v>
      </c>
      <c r="G59" t="s">
        <v>24</v>
      </c>
      <c r="H59">
        <v>570</v>
      </c>
      <c r="I59" t="e" vm="1">
        <v>#VALUE!</v>
      </c>
      <c r="J59" t="e" vm="11">
        <v>#VALUE!</v>
      </c>
      <c r="K59">
        <v>7404.3</v>
      </c>
    </row>
    <row r="60" spans="1:11" x14ac:dyDescent="0.25">
      <c r="A60">
        <v>10609</v>
      </c>
      <c r="B60" s="63">
        <v>44903</v>
      </c>
      <c r="C60" t="s">
        <v>13</v>
      </c>
      <c r="D60">
        <v>4.99</v>
      </c>
      <c r="E60" t="s">
        <v>10</v>
      </c>
      <c r="F60" t="s">
        <v>11</v>
      </c>
      <c r="G60" t="s">
        <v>24</v>
      </c>
      <c r="H60">
        <v>201</v>
      </c>
      <c r="I60" t="e" vm="1">
        <v>#VALUE!</v>
      </c>
      <c r="J60" t="e" vm="11">
        <v>#VALUE!</v>
      </c>
      <c r="K60">
        <v>1002.99</v>
      </c>
    </row>
    <row r="61" spans="1:11" x14ac:dyDescent="0.25">
      <c r="A61">
        <v>10608</v>
      </c>
      <c r="B61" s="63">
        <v>44903</v>
      </c>
      <c r="C61" t="s">
        <v>12</v>
      </c>
      <c r="D61">
        <v>2.95</v>
      </c>
      <c r="E61" t="s">
        <v>10</v>
      </c>
      <c r="F61" t="s">
        <v>11</v>
      </c>
      <c r="G61" t="s">
        <v>24</v>
      </c>
      <c r="H61">
        <v>678</v>
      </c>
      <c r="I61" t="e" vm="1">
        <v>#VALUE!</v>
      </c>
      <c r="J61" t="e" vm="11">
        <v>#VALUE!</v>
      </c>
      <c r="K61">
        <v>2000.1000000000001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308-71E6-49CA-8AB9-794F30E13096}">
  <dimension ref="A3:J5"/>
  <sheetViews>
    <sheetView workbookViewId="0">
      <selection activeCell="I4" sqref="I4"/>
    </sheetView>
  </sheetViews>
  <sheetFormatPr defaultRowHeight="15.75" x14ac:dyDescent="0.25"/>
  <cols>
    <col min="1" max="2" width="14.875" bestFit="1" customWidth="1"/>
    <col min="3" max="3" width="16.125" bestFit="1" customWidth="1"/>
    <col min="6" max="6" width="18.25" bestFit="1" customWidth="1"/>
    <col min="9" max="9" width="12.375" bestFit="1" customWidth="1"/>
    <col min="10" max="10" width="14.875" bestFit="1" customWidth="1"/>
  </cols>
  <sheetData>
    <row r="3" spans="1:10" x14ac:dyDescent="0.25">
      <c r="A3" t="s">
        <v>69</v>
      </c>
      <c r="C3" t="s">
        <v>98</v>
      </c>
      <c r="F3" t="s">
        <v>99</v>
      </c>
      <c r="I3" s="55" t="s">
        <v>65</v>
      </c>
      <c r="J3" t="s">
        <v>69</v>
      </c>
    </row>
    <row r="4" spans="1:10" x14ac:dyDescent="0.25">
      <c r="A4" s="59">
        <v>283555.35999999993</v>
      </c>
      <c r="C4" s="56">
        <v>78</v>
      </c>
      <c r="F4" s="59">
        <v>3635.3251282051274</v>
      </c>
      <c r="I4" s="61" t="s">
        <v>78</v>
      </c>
      <c r="J4" s="59">
        <v>45926.19</v>
      </c>
    </row>
    <row r="5" spans="1:10" x14ac:dyDescent="0.25">
      <c r="A5" s="59"/>
      <c r="I5" s="14" t="s">
        <v>66</v>
      </c>
      <c r="J5" s="59">
        <v>45926.19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3887-A91C-482C-A35F-AE44007DF316}">
  <dimension ref="A1"/>
  <sheetViews>
    <sheetView tabSelected="1" zoomScale="70" zoomScaleNormal="70" workbookViewId="0">
      <selection activeCell="S25" sqref="S25"/>
    </sheetView>
  </sheetViews>
  <sheetFormatPr defaultRowHeight="15.75" x14ac:dyDescent="0.25"/>
  <cols>
    <col min="1" max="1" width="9" style="60"/>
    <col min="2" max="2" width="16.375" style="60" customWidth="1"/>
    <col min="3" max="3" width="8.125" style="60" bestFit="1" customWidth="1"/>
    <col min="4" max="5" width="10.75" style="60" bestFit="1" customWidth="1"/>
    <col min="6" max="16384" width="9" style="6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heetViews>
  <sheetFormatPr defaultColWidth="10.625" defaultRowHeight="15.75" x14ac:dyDescent="0.25"/>
  <cols>
    <col min="2" max="2" width="17.5" customWidth="1"/>
    <col min="3" max="3" width="11.375" customWidth="1"/>
  </cols>
  <sheetData>
    <row r="2" spans="2:10" x14ac:dyDescent="0.25">
      <c r="B2" s="11" t="s">
        <v>29</v>
      </c>
      <c r="C2" s="12" t="s">
        <v>20</v>
      </c>
      <c r="J2" s="18" t="s">
        <v>24</v>
      </c>
    </row>
    <row r="3" spans="2:10" x14ac:dyDescent="0.25">
      <c r="J3" s="18" t="s">
        <v>20</v>
      </c>
    </row>
    <row r="4" spans="2:10" x14ac:dyDescent="0.25">
      <c r="B4" s="43" t="s">
        <v>30</v>
      </c>
      <c r="C4" s="43"/>
      <c r="J4" s="18" t="s">
        <v>21</v>
      </c>
    </row>
    <row r="5" spans="2:10" x14ac:dyDescent="0.25">
      <c r="B5" t="s">
        <v>31</v>
      </c>
      <c r="C5" t="e" vm="4">
        <f ca="1">_xlfn.XLOOKUP(C2,Table1[Manager],Table1[Country])</f>
        <v>#VALUE!</v>
      </c>
      <c r="J5" s="18" t="s">
        <v>17</v>
      </c>
    </row>
    <row r="6" spans="2:10" x14ac:dyDescent="0.25">
      <c r="B6" t="s">
        <v>8</v>
      </c>
      <c r="C6" t="e" vm="3">
        <f>_xlfn.XLOOKUP(C2,Table1[Manager],Table1[City])</f>
        <v>#VALUE!</v>
      </c>
      <c r="J6" s="18" t="s">
        <v>19</v>
      </c>
    </row>
    <row r="7" spans="2:10" x14ac:dyDescent="0.25">
      <c r="C7" s="13"/>
    </row>
    <row r="8" spans="2:10" x14ac:dyDescent="0.25">
      <c r="B8" s="43" t="s">
        <v>32</v>
      </c>
      <c r="C8" s="43"/>
    </row>
    <row r="9" spans="2:10" x14ac:dyDescent="0.25">
      <c r="B9" s="14" t="s">
        <v>9</v>
      </c>
      <c r="C9" s="15">
        <f>SUMIFS(Table1[Revenue],Table1[Product],Findings!B9,Table1[Manager],Findings!$C$2)</f>
        <v>17219.660000000003</v>
      </c>
    </row>
    <row r="10" spans="2:10" x14ac:dyDescent="0.25">
      <c r="B10" s="14" t="s">
        <v>12</v>
      </c>
      <c r="C10" s="15">
        <f>SUMIFS(Table1[Revenue],Table1[Product],Findings!B10,Table1[Manager],Findings!$C$2)</f>
        <v>18402.100000000002</v>
      </c>
    </row>
    <row r="11" spans="2:10" x14ac:dyDescent="0.25">
      <c r="B11" s="14" t="s">
        <v>13</v>
      </c>
      <c r="C11" s="15">
        <f>SUMIFS(Table1[Revenue],Table1[Product],Findings!B11,Table1[Manager],Findings!$C$2)</f>
        <v>9026.91</v>
      </c>
    </row>
    <row r="12" spans="2:10" x14ac:dyDescent="0.25">
      <c r="B12" s="14" t="s">
        <v>15</v>
      </c>
      <c r="C12" s="15">
        <f>SUMIFS(Table1[Revenue],Table1[Product],Findings!B12,Table1[Manager],Findings!$C$2)</f>
        <v>73692.27</v>
      </c>
    </row>
    <row r="13" spans="2:10" x14ac:dyDescent="0.25">
      <c r="B13" s="14" t="s">
        <v>18</v>
      </c>
      <c r="C13" s="15">
        <f>SUMIFS(Table1[Revenue],Table1[Product],Findings!B13,Table1[Manager],Findings!$C$2)</f>
        <v>18089.099999999999</v>
      </c>
    </row>
    <row r="14" spans="2:10" x14ac:dyDescent="0.25">
      <c r="B14" s="16" t="s">
        <v>33</v>
      </c>
      <c r="C14" s="17">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Breakdown</vt:lpstr>
      <vt:lpstr>Clean</vt:lpstr>
      <vt:lpstr>Detail1</vt:lpstr>
      <vt:lpstr>Analysis</vt:lpstr>
      <vt:lpstr>Manager Revenue</vt:lpstr>
      <vt:lpstr>Most Profit from Product</vt:lpstr>
      <vt:lpstr>Sales by Week-Month</vt:lpstr>
      <vt:lpstr>Sales By Payment Method</vt:lpstr>
      <vt:lpstr>Detail2</vt:lpstr>
      <vt:lpstr>Cards</vt:lpstr>
      <vt:lpstr>Dashboard</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Euan Garcia</cp:lastModifiedBy>
  <dcterms:created xsi:type="dcterms:W3CDTF">2023-02-14T11:15:23Z</dcterms:created>
  <dcterms:modified xsi:type="dcterms:W3CDTF">2026-09-22T19:17:06Z</dcterms:modified>
</cp:coreProperties>
</file>